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WD2TB/Dropbox/ED_Rostering/HKJEM article/implemetation study/code/"/>
    </mc:Choice>
  </mc:AlternateContent>
  <xr:revisionPtr revIDLastSave="0" documentId="13_ncr:1_{8C00A1A5-CD9C-274F-91E7-6BDFE72B2BF0}" xr6:coauthVersionLast="47" xr6:coauthVersionMax="47" xr10:uidLastSave="{00000000-0000-0000-0000-000000000000}"/>
  <bookViews>
    <workbookView xWindow="20" yWindow="520" windowWidth="19160" windowHeight="21060" xr2:uid="{3BE65A84-F3C8-9445-ABC9-2C724BC83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O17" i="1"/>
  <c r="O19" i="1"/>
  <c r="O20" i="1"/>
  <c r="O21" i="1"/>
  <c r="O22" i="1"/>
  <c r="AM85" i="1" l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AL85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AL81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AL79" i="1"/>
  <c r="AM73" i="1"/>
  <c r="BT30" i="1" l="1"/>
  <c r="BS30" i="1"/>
  <c r="B30" i="1"/>
  <c r="BU38" i="1"/>
  <c r="AL87" i="1" a="1"/>
  <c r="AL87" i="1" s="1"/>
  <c r="AM87" i="1" a="1"/>
  <c r="AM87" i="1" s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AL86" i="1"/>
  <c r="BP82" i="1"/>
  <c r="BP80" i="1"/>
  <c r="BP74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BV30" i="1" l="1"/>
  <c r="BP83" i="1"/>
  <c r="BP84" i="1"/>
  <c r="AZ82" i="1"/>
  <c r="AZ80" i="1"/>
  <c r="AZ76" i="1"/>
  <c r="AZ75" i="1"/>
  <c r="AZ74" i="1"/>
  <c r="AZ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AL73" i="1"/>
  <c r="CK30" i="1" l="1"/>
  <c r="O30" i="1" s="1"/>
  <c r="AZ84" i="1"/>
  <c r="AZ83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AL89" i="1"/>
  <c r="AM94" i="1" l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AL94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AL93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AL92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AL91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AL90" i="1"/>
  <c r="CF35" i="1"/>
  <c r="CG35" i="1"/>
  <c r="CH34" i="1"/>
  <c r="CH33" i="1"/>
  <c r="CH32" i="1"/>
  <c r="CH31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1" i="1"/>
  <c r="BT32" i="1"/>
  <c r="BT33" i="1"/>
  <c r="BT34" i="1"/>
  <c r="BT6" i="1"/>
  <c r="B22" i="1" l="1"/>
  <c r="B23" i="1"/>
  <c r="B10" i="1" l="1"/>
  <c r="B11" i="1"/>
  <c r="B12" i="1"/>
  <c r="B13" i="1"/>
  <c r="B14" i="1"/>
  <c r="B15" i="1"/>
  <c r="B16" i="1"/>
  <c r="B17" i="1"/>
  <c r="B18" i="1"/>
  <c r="B19" i="1"/>
  <c r="B20" i="1"/>
  <c r="B21" i="1"/>
  <c r="B24" i="1"/>
  <c r="B25" i="1"/>
  <c r="B26" i="1"/>
  <c r="B27" i="1"/>
  <c r="B28" i="1"/>
  <c r="B29" i="1"/>
  <c r="B31" i="1"/>
  <c r="B32" i="1"/>
  <c r="B33" i="1"/>
  <c r="B34" i="1"/>
  <c r="B9" i="1"/>
  <c r="BS7" i="1"/>
  <c r="BV7" i="1" s="1"/>
  <c r="BS8" i="1"/>
  <c r="BV8" i="1" s="1"/>
  <c r="BS9" i="1"/>
  <c r="BV9" i="1" s="1"/>
  <c r="BS10" i="1"/>
  <c r="BV10" i="1" s="1"/>
  <c r="BS11" i="1"/>
  <c r="BV11" i="1" s="1"/>
  <c r="BS12" i="1"/>
  <c r="BV12" i="1" s="1"/>
  <c r="BS13" i="1"/>
  <c r="BV13" i="1" s="1"/>
  <c r="BS14" i="1"/>
  <c r="BV14" i="1" s="1"/>
  <c r="BS15" i="1"/>
  <c r="BV15" i="1" s="1"/>
  <c r="BS16" i="1"/>
  <c r="BV16" i="1" s="1"/>
  <c r="BS17" i="1"/>
  <c r="BV17" i="1" s="1"/>
  <c r="BS18" i="1"/>
  <c r="BV18" i="1" s="1"/>
  <c r="BS19" i="1"/>
  <c r="BV19" i="1" s="1"/>
  <c r="BS20" i="1"/>
  <c r="BV20" i="1" s="1"/>
  <c r="BS21" i="1"/>
  <c r="BV21" i="1" s="1"/>
  <c r="BS23" i="1"/>
  <c r="BV23" i="1" s="1"/>
  <c r="BS22" i="1"/>
  <c r="BV22" i="1" s="1"/>
  <c r="BS24" i="1"/>
  <c r="BV24" i="1" s="1"/>
  <c r="BS25" i="1"/>
  <c r="BV25" i="1" s="1"/>
  <c r="BS26" i="1"/>
  <c r="BV26" i="1" s="1"/>
  <c r="BS27" i="1"/>
  <c r="BV27" i="1" s="1"/>
  <c r="BS28" i="1"/>
  <c r="BV28" i="1" s="1"/>
  <c r="BS29" i="1"/>
  <c r="BV29" i="1" s="1"/>
  <c r="BS31" i="1"/>
  <c r="BV31" i="1" s="1"/>
  <c r="BS32" i="1"/>
  <c r="BV32" i="1" s="1"/>
  <c r="BS33" i="1"/>
  <c r="BV33" i="1" s="1"/>
  <c r="BS34" i="1"/>
  <c r="BV34" i="1" s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AL70" i="1"/>
  <c r="CK22" i="1" l="1"/>
  <c r="BS6" i="1"/>
  <c r="BV6" i="1" s="1"/>
  <c r="CK6" i="1" l="1"/>
  <c r="O6" i="1" s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AL82" i="1"/>
  <c r="AM80" i="1"/>
  <c r="AM84" i="1" s="1"/>
  <c r="AN80" i="1"/>
  <c r="AO80" i="1"/>
  <c r="AP80" i="1"/>
  <c r="AQ80" i="1"/>
  <c r="AR80" i="1"/>
  <c r="AS80" i="1"/>
  <c r="AT80" i="1"/>
  <c r="AU80" i="1"/>
  <c r="AV80" i="1"/>
  <c r="AW80" i="1"/>
  <c r="AX80" i="1"/>
  <c r="AY80" i="1"/>
  <c r="BA80" i="1"/>
  <c r="BB80" i="1"/>
  <c r="BC80" i="1"/>
  <c r="BD80" i="1"/>
  <c r="BD84" i="1" s="1"/>
  <c r="BE80" i="1"/>
  <c r="BF80" i="1"/>
  <c r="BG80" i="1"/>
  <c r="BH80" i="1"/>
  <c r="BI80" i="1"/>
  <c r="BJ80" i="1"/>
  <c r="BK80" i="1"/>
  <c r="BL80" i="1"/>
  <c r="BL84" i="1" s="1"/>
  <c r="BM80" i="1"/>
  <c r="BN80" i="1"/>
  <c r="BO80" i="1"/>
  <c r="AL80" i="1"/>
  <c r="AN87" i="1" a="1"/>
  <c r="AN87" i="1" s="1"/>
  <c r="AO87" i="1" a="1"/>
  <c r="AO87" i="1" s="1"/>
  <c r="AP87" i="1" a="1"/>
  <c r="AP87" i="1" s="1"/>
  <c r="AQ87" i="1" a="1"/>
  <c r="AQ87" i="1" s="1"/>
  <c r="AR87" i="1" a="1"/>
  <c r="AR87" i="1" s="1"/>
  <c r="AS87" i="1" a="1"/>
  <c r="AS87" i="1" s="1"/>
  <c r="AT87" i="1" a="1"/>
  <c r="AT87" i="1" s="1"/>
  <c r="AU87" i="1" a="1"/>
  <c r="AU87" i="1" s="1"/>
  <c r="AV87" i="1" a="1"/>
  <c r="AV87" i="1" s="1"/>
  <c r="AW87" i="1" a="1"/>
  <c r="AW87" i="1" s="1"/>
  <c r="AX87" i="1" a="1"/>
  <c r="AX87" i="1" s="1"/>
  <c r="AY87" i="1" a="1"/>
  <c r="AY87" i="1" s="1"/>
  <c r="AZ87" i="1" a="1"/>
  <c r="AZ87" i="1" s="1"/>
  <c r="BA87" i="1" a="1"/>
  <c r="BA87" i="1" s="1"/>
  <c r="BB87" i="1" a="1"/>
  <c r="BB87" i="1" s="1"/>
  <c r="BC87" i="1" a="1"/>
  <c r="BC87" i="1" s="1"/>
  <c r="BD87" i="1" a="1"/>
  <c r="BD87" i="1" s="1"/>
  <c r="BE87" i="1" a="1"/>
  <c r="BE87" i="1" s="1"/>
  <c r="BF87" i="1" a="1"/>
  <c r="BF87" i="1" s="1"/>
  <c r="BG87" i="1" a="1"/>
  <c r="BG87" i="1" s="1"/>
  <c r="BH87" i="1" a="1"/>
  <c r="BH87" i="1" s="1"/>
  <c r="BI87" i="1" a="1"/>
  <c r="BI87" i="1" s="1"/>
  <c r="BJ87" i="1" a="1"/>
  <c r="BJ87" i="1" s="1"/>
  <c r="BK87" i="1" a="1"/>
  <c r="BK87" i="1" s="1"/>
  <c r="BL87" i="1" a="1"/>
  <c r="BL87" i="1" s="1"/>
  <c r="BM87" i="1" a="1"/>
  <c r="BM87" i="1" s="1"/>
  <c r="BN87" i="1" a="1"/>
  <c r="BN87" i="1" s="1"/>
  <c r="BO87" i="1" a="1"/>
  <c r="BO87" i="1" s="1"/>
  <c r="BP87" i="1" a="1"/>
  <c r="BP87" i="1" s="1"/>
  <c r="AU84" i="1" l="1"/>
  <c r="BJ83" i="1"/>
  <c r="BL83" i="1"/>
  <c r="BD83" i="1"/>
  <c r="AU83" i="1"/>
  <c r="BN84" i="1"/>
  <c r="BF84" i="1"/>
  <c r="AW84" i="1"/>
  <c r="AO84" i="1"/>
  <c r="BK83" i="1"/>
  <c r="BC83" i="1"/>
  <c r="AT83" i="1"/>
  <c r="BM84" i="1"/>
  <c r="BE84" i="1"/>
  <c r="AV84" i="1"/>
  <c r="AL83" i="1"/>
  <c r="BH83" i="1"/>
  <c r="AY83" i="1"/>
  <c r="AQ83" i="1"/>
  <c r="AN84" i="1"/>
  <c r="AS83" i="1"/>
  <c r="AR83" i="1"/>
  <c r="BI83" i="1"/>
  <c r="BA83" i="1"/>
  <c r="BK84" i="1"/>
  <c r="BC84" i="1"/>
  <c r="AT84" i="1"/>
  <c r="BO83" i="1"/>
  <c r="BG83" i="1"/>
  <c r="AX83" i="1"/>
  <c r="AP83" i="1"/>
  <c r="AM83" i="1"/>
  <c r="BN83" i="1"/>
  <c r="BF83" i="1"/>
  <c r="AW83" i="1"/>
  <c r="AO83" i="1"/>
  <c r="AL84" i="1"/>
  <c r="BM83" i="1"/>
  <c r="BE83" i="1"/>
  <c r="AV83" i="1"/>
  <c r="AN83" i="1"/>
  <c r="BB83" i="1"/>
  <c r="BJ84" i="1"/>
  <c r="BB84" i="1"/>
  <c r="AS84" i="1"/>
  <c r="BI84" i="1"/>
  <c r="BA84" i="1"/>
  <c r="AR84" i="1"/>
  <c r="BH84" i="1"/>
  <c r="AY84" i="1"/>
  <c r="AQ84" i="1"/>
  <c r="BO84" i="1"/>
  <c r="BG84" i="1"/>
  <c r="AX84" i="1"/>
  <c r="AP84" i="1"/>
  <c r="BM71" i="1"/>
  <c r="BN71" i="1"/>
  <c r="BO71" i="1"/>
  <c r="BM72" i="1"/>
  <c r="BN72" i="1"/>
  <c r="BO72" i="1"/>
  <c r="BM74" i="1"/>
  <c r="BN74" i="1"/>
  <c r="BO74" i="1"/>
  <c r="BM75" i="1"/>
  <c r="BN75" i="1"/>
  <c r="BO75" i="1"/>
  <c r="BM76" i="1"/>
  <c r="BN76" i="1"/>
  <c r="BO76" i="1"/>
  <c r="AL71" i="1"/>
  <c r="AM71" i="1"/>
  <c r="AN71" i="1"/>
  <c r="AO71" i="1"/>
  <c r="AP71" i="1"/>
  <c r="AQ71" i="1"/>
  <c r="AL72" i="1"/>
  <c r="AM72" i="1"/>
  <c r="AN72" i="1"/>
  <c r="AO72" i="1"/>
  <c r="AP72" i="1"/>
  <c r="AQ72" i="1"/>
  <c r="AL74" i="1"/>
  <c r="AM74" i="1"/>
  <c r="AN74" i="1"/>
  <c r="AO74" i="1"/>
  <c r="AP74" i="1"/>
  <c r="AQ74" i="1"/>
  <c r="AL75" i="1"/>
  <c r="AM75" i="1"/>
  <c r="AN75" i="1"/>
  <c r="AO75" i="1"/>
  <c r="AP75" i="1"/>
  <c r="AQ75" i="1"/>
  <c r="AL76" i="1"/>
  <c r="AM76" i="1"/>
  <c r="AN76" i="1"/>
  <c r="AO76" i="1"/>
  <c r="AP76" i="1"/>
  <c r="AQ76" i="1"/>
  <c r="CK7" i="1" l="1"/>
  <c r="O7" i="1" s="1"/>
  <c r="CK9" i="1"/>
  <c r="O9" i="1" s="1"/>
  <c r="AR76" i="1"/>
  <c r="AS76" i="1"/>
  <c r="AT76" i="1"/>
  <c r="AU76" i="1"/>
  <c r="AV76" i="1"/>
  <c r="AW76" i="1"/>
  <c r="AX76" i="1"/>
  <c r="AY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AR75" i="1"/>
  <c r="AS75" i="1"/>
  <c r="AT75" i="1"/>
  <c r="AU75" i="1"/>
  <c r="AV75" i="1"/>
  <c r="AW75" i="1"/>
  <c r="AX75" i="1"/>
  <c r="AY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AR74" i="1"/>
  <c r="AS74" i="1"/>
  <c r="AT74" i="1"/>
  <c r="AU74" i="1"/>
  <c r="AV74" i="1"/>
  <c r="AW74" i="1"/>
  <c r="AX74" i="1"/>
  <c r="AY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CK17" i="1" l="1"/>
  <c r="CK25" i="1"/>
  <c r="O25" i="1" s="1"/>
  <c r="CK8" i="1"/>
  <c r="O8" i="1" s="1"/>
  <c r="CK23" i="1" l="1"/>
  <c r="O23" i="1" s="1"/>
  <c r="CK24" i="1"/>
  <c r="O24" i="1" s="1"/>
  <c r="CK21" i="1"/>
  <c r="CK31" i="1"/>
  <c r="O31" i="1" s="1"/>
  <c r="CK12" i="1"/>
  <c r="O12" i="1" s="1"/>
  <c r="CK29" i="1"/>
  <c r="O29" i="1" s="1"/>
  <c r="CK27" i="1"/>
  <c r="O27" i="1" s="1"/>
  <c r="CK15" i="1"/>
  <c r="O15" i="1" s="1"/>
  <c r="CK26" i="1"/>
  <c r="O26" i="1" s="1"/>
  <c r="CK14" i="1"/>
  <c r="O14" i="1" s="1"/>
  <c r="CK32" i="1"/>
  <c r="O32" i="1" s="1"/>
  <c r="CK16" i="1"/>
  <c r="O16" i="1" s="1"/>
  <c r="CK13" i="1"/>
  <c r="O13" i="1" s="1"/>
  <c r="CK19" i="1"/>
  <c r="CK33" i="1"/>
  <c r="O33" i="1" s="1"/>
  <c r="CK28" i="1"/>
  <c r="O28" i="1" s="1"/>
  <c r="CK20" i="1"/>
  <c r="CK18" i="1"/>
  <c r="O18" i="1" s="1"/>
  <c r="CK10" i="1"/>
  <c r="CK11" i="1"/>
  <c r="O11" i="1" s="1"/>
  <c r="CK34" i="1"/>
  <c r="O34" i="1" s="1"/>
  <c r="W35" i="1"/>
  <c r="V35" i="1"/>
  <c r="U35" i="1"/>
  <c r="J35" i="1"/>
  <c r="K35" i="1"/>
  <c r="E35" i="1" l="1"/>
  <c r="BP70" i="1" l="1"/>
  <c r="BP71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P72" i="1"/>
  <c r="G35" i="1" l="1"/>
  <c r="F35" i="1"/>
  <c r="H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4" authorId="0" shapeId="0" xr:uid="{BE22AB02-9419-CF47-9CC1-1B2063B532C1}">
      <text>
        <r>
          <rPr>
            <b/>
            <sz val="10"/>
            <color rgb="FF000000"/>
            <rFont val="Tahoma"/>
            <family val="2"/>
          </rPr>
          <t xml:space="preserve">1=plain
</t>
        </r>
        <r>
          <rPr>
            <b/>
            <sz val="10"/>
            <color rgb="FF000000"/>
            <rFont val="Tahoma"/>
            <family val="2"/>
          </rPr>
          <t xml:space="preserve">2=+posthoc
</t>
        </r>
        <r>
          <rPr>
            <b/>
            <sz val="10"/>
            <color rgb="FF000000"/>
            <rFont val="Tahoma"/>
            <family val="2"/>
          </rPr>
          <t>3=+masterexcel</t>
        </r>
      </text>
    </comment>
    <comment ref="CN5" authorId="0" shapeId="0" xr:uid="{2A761F86-E4C4-9649-BD62-B77D02A9A024}">
      <text>
        <r>
          <rPr>
            <sz val="10"/>
            <color rgb="FF000000"/>
            <rFont val="Aptos Narrow"/>
          </rPr>
          <t xml:space="preserve">conversion logic:
</t>
        </r>
        <r>
          <rPr>
            <sz val="10"/>
            <color rgb="FF000000"/>
            <rFont val="Aptos Narrow"/>
          </rPr>
          <t xml:space="preserve">-convert A-&gt;B
</t>
        </r>
        <r>
          <rPr>
            <sz val="10"/>
            <color rgb="FF000000"/>
            <rFont val="Aptos Narrow"/>
          </rPr>
          <t xml:space="preserve">-preferably A from AN
</t>
        </r>
        <r>
          <rPr>
            <sz val="10"/>
            <color rgb="FF000000"/>
            <rFont val="Aptos Narrow"/>
          </rPr>
          <t>-avoid (strictly) A of PA</t>
        </r>
      </text>
    </comment>
    <comment ref="CO5" authorId="0" shapeId="0" xr:uid="{99A0D8B0-0787-D242-9BE8-D09C0BC9D109}">
      <text>
        <r>
          <rPr>
            <sz val="10"/>
            <color rgb="FF000000"/>
            <rFont val="Tahoma"/>
            <family val="2"/>
          </rPr>
          <t xml:space="preserve">conversion logic:
</t>
        </r>
        <r>
          <rPr>
            <sz val="10"/>
            <color rgb="FF000000"/>
            <rFont val="Tahoma"/>
            <family val="2"/>
          </rPr>
          <t xml:space="preserve">-convert A-&gt;K
</t>
        </r>
        <r>
          <rPr>
            <sz val="10"/>
            <color rgb="FF000000"/>
            <rFont val="Tahoma"/>
            <family val="2"/>
          </rPr>
          <t xml:space="preserve">-preferably A from AN
</t>
        </r>
        <r>
          <rPr>
            <sz val="10"/>
            <color rgb="FF000000"/>
            <rFont val="Tahoma"/>
            <family val="2"/>
          </rPr>
          <t>-avoid (strictly) A of PA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<sst xmlns="http://schemas.openxmlformats.org/spreadsheetml/2006/main" count="637" uniqueCount="177">
  <si>
    <t>BT</t>
  </si>
  <si>
    <t>E</t>
  </si>
  <si>
    <t>COS</t>
  </si>
  <si>
    <t>initialhr</t>
  </si>
  <si>
    <t>finalhr</t>
  </si>
  <si>
    <t>N</t>
  </si>
  <si>
    <t>Rank</t>
  </si>
  <si>
    <t>Staff</t>
  </si>
  <si>
    <t>PPP</t>
  </si>
  <si>
    <t>P/A</t>
  </si>
  <si>
    <t>PAN</t>
  </si>
  <si>
    <t>Manpower</t>
  </si>
  <si>
    <t>Output</t>
  </si>
  <si>
    <t>Input</t>
  </si>
  <si>
    <t>HT1</t>
  </si>
  <si>
    <t>AC</t>
  </si>
  <si>
    <t>START</t>
  </si>
  <si>
    <t>AM</t>
  </si>
  <si>
    <t>PM</t>
  </si>
  <si>
    <t>Night</t>
  </si>
  <si>
    <t>CON1</t>
  </si>
  <si>
    <t>CON2</t>
  </si>
  <si>
    <t>CON3</t>
  </si>
  <si>
    <t>SunO</t>
  </si>
  <si>
    <t>SunP</t>
  </si>
  <si>
    <t>WeO</t>
  </si>
  <si>
    <t>Z</t>
  </si>
  <si>
    <t>Hr</t>
  </si>
  <si>
    <t>END</t>
  </si>
  <si>
    <t>a/v</t>
  </si>
  <si>
    <t>Hr range</t>
  </si>
  <si>
    <t>PPPP</t>
  </si>
  <si>
    <t>NC</t>
  </si>
  <si>
    <t>RC</t>
  </si>
  <si>
    <t>final</t>
  </si>
  <si>
    <t>global</t>
  </si>
  <si>
    <t>min_specialist</t>
  </si>
  <si>
    <t>9hratio</t>
  </si>
  <si>
    <t>☆</t>
  </si>
  <si>
    <t>extra (+work less,-workmore)</t>
  </si>
  <si>
    <t>JA</t>
  </si>
  <si>
    <t>JP</t>
  </si>
  <si>
    <t>optimise</t>
  </si>
  <si>
    <t>½●½O</t>
  </si>
  <si>
    <t>SH</t>
  </si>
  <si>
    <t>PA</t>
  </si>
  <si>
    <t>bal≥</t>
  </si>
  <si>
    <t>≤</t>
  </si>
  <si>
    <t>P/A≥</t>
  </si>
  <si>
    <t>Ns≥</t>
  </si>
  <si>
    <t>N*=</t>
  </si>
  <si>
    <t>N=</t>
  </si>
  <si>
    <t>N3=</t>
  </si>
  <si>
    <t>PA≤</t>
  </si>
  <si>
    <t>PAN≤</t>
  </si>
  <si>
    <t>PPP≤</t>
  </si>
  <si>
    <t>JA≥</t>
  </si>
  <si>
    <t>JP≥</t>
  </si>
  <si>
    <t>CAA≥</t>
  </si>
  <si>
    <t>CAP≥</t>
  </si>
  <si>
    <t>ACA≥</t>
  </si>
  <si>
    <t>ACP≥</t>
  </si>
  <si>
    <t>8h</t>
  </si>
  <si>
    <t>9h</t>
  </si>
  <si>
    <t>WD^</t>
  </si>
  <si>
    <t>▽</t>
  </si>
  <si>
    <t>WEⓦ</t>
  </si>
  <si>
    <t>Pω</t>
  </si>
  <si>
    <t>♥</t>
  </si>
  <si>
    <t>%¥</t>
  </si>
  <si>
    <t>*</t>
  </si>
  <si>
    <t>ini_bal</t>
  </si>
  <si>
    <t>mean P/A</t>
  </si>
  <si>
    <t>SunO≥≤</t>
  </si>
  <si>
    <t>WeO≥≤</t>
  </si>
  <si>
    <t>SunP≥≤</t>
  </si>
  <si>
    <t>Oct</t>
  </si>
  <si>
    <t>WED</t>
  </si>
  <si>
    <t>THU</t>
  </si>
  <si>
    <t>FRI</t>
  </si>
  <si>
    <t>SAT</t>
  </si>
  <si>
    <t>SUN</t>
  </si>
  <si>
    <t>MON</t>
  </si>
  <si>
    <t>TUE</t>
  </si>
  <si>
    <t>Special duties</t>
  </si>
  <si>
    <t>WDⓦ</t>
  </si>
  <si>
    <t>A2^</t>
  </si>
  <si>
    <t>tele</t>
  </si>
  <si>
    <t>E2ω</t>
  </si>
  <si>
    <t>B</t>
  </si>
  <si>
    <t>K</t>
  </si>
  <si>
    <t>^</t>
  </si>
  <si>
    <t>ⓦ</t>
  </si>
  <si>
    <t>E(P)≥</t>
  </si>
  <si>
    <t>E(A)≥</t>
  </si>
  <si>
    <t>BT(P)≥</t>
  </si>
  <si>
    <t>BT(A)≥</t>
  </si>
  <si>
    <t>HT(P)≥</t>
  </si>
  <si>
    <t>HT(A)≥</t>
  </si>
  <si>
    <t>Sen(A)</t>
  </si>
  <si>
    <t>Sen(P)</t>
  </si>
  <si>
    <t>AC(A)</t>
  </si>
  <si>
    <t>AC(P)</t>
  </si>
  <si>
    <t>HT(A)</t>
  </si>
  <si>
    <t>HT(P)</t>
  </si>
  <si>
    <t>BT(A)</t>
  </si>
  <si>
    <t>BT(P)</t>
  </si>
  <si>
    <t>E(A)</t>
  </si>
  <si>
    <t>E(P)</t>
  </si>
  <si>
    <t>Excel Counting</t>
  </si>
  <si>
    <t>H+B(A)</t>
  </si>
  <si>
    <t>H+B(P)</t>
  </si>
  <si>
    <t>Sen(A)≥</t>
  </si>
  <si>
    <t>Sen(P)≥</t>
  </si>
  <si>
    <t>toxi</t>
  </si>
  <si>
    <t>O®?</t>
  </si>
  <si>
    <t xml:space="preserve"> … Week 44</t>
  </si>
  <si>
    <t>Week 45</t>
  </si>
  <si>
    <t>Week 46</t>
  </si>
  <si>
    <t>Week 47</t>
  </si>
  <si>
    <t>Week 48</t>
  </si>
  <si>
    <t xml:space="preserve">Week 49 … </t>
  </si>
  <si>
    <t>Nov</t>
  </si>
  <si>
    <t>Fong NY</t>
  </si>
  <si>
    <t>Chow CK</t>
  </si>
  <si>
    <t>Lau WF</t>
  </si>
  <si>
    <t>Lau YHG</t>
  </si>
  <si>
    <t>Lau SYD</t>
  </si>
  <si>
    <t>Lee SYR</t>
  </si>
  <si>
    <t>Wong YTC</t>
  </si>
  <si>
    <t>Cheung LYL</t>
  </si>
  <si>
    <t>11/2025</t>
  </si>
  <si>
    <t>AL</t>
  </si>
  <si>
    <t>O</t>
  </si>
  <si>
    <t>O↗</t>
  </si>
  <si>
    <t>N↗</t>
  </si>
  <si>
    <t>A↗</t>
  </si>
  <si>
    <t>P↗</t>
  </si>
  <si>
    <t>½t</t>
  </si>
  <si>
    <t>T</t>
  </si>
  <si>
    <t>½●½O↗</t>
  </si>
  <si>
    <t>Z↗</t>
  </si>
  <si>
    <t>☆↗</t>
  </si>
  <si>
    <t>A</t>
  </si>
  <si>
    <t>P</t>
  </si>
  <si>
    <t>½Z</t>
  </si>
  <si>
    <t>HT2</t>
  </si>
  <si>
    <t>Dr1</t>
  </si>
  <si>
    <t>Dr2</t>
  </si>
  <si>
    <t>Dr3</t>
  </si>
  <si>
    <t>Dr4</t>
  </si>
  <si>
    <t>Dr5</t>
  </si>
  <si>
    <t>Dr6</t>
  </si>
  <si>
    <t>Dr7</t>
  </si>
  <si>
    <t>Dr8</t>
  </si>
  <si>
    <t>Dr9</t>
  </si>
  <si>
    <t>Dr10</t>
  </si>
  <si>
    <t>Dr11</t>
  </si>
  <si>
    <t>Dr12</t>
  </si>
  <si>
    <t>Dr13</t>
  </si>
  <si>
    <t>Dr14</t>
  </si>
  <si>
    <t>Dr15</t>
  </si>
  <si>
    <t>Dr16</t>
  </si>
  <si>
    <t>Dr17</t>
  </si>
  <si>
    <t>Dr18</t>
  </si>
  <si>
    <t>Dr19</t>
  </si>
  <si>
    <t>Dr20</t>
  </si>
  <si>
    <t>Dr21</t>
  </si>
  <si>
    <t>Dr22</t>
  </si>
  <si>
    <t>Dr23</t>
  </si>
  <si>
    <t>Dr24</t>
  </si>
  <si>
    <t>Dr25</t>
  </si>
  <si>
    <t>Dr26</t>
  </si>
  <si>
    <t>Dr27</t>
  </si>
  <si>
    <t>Dr28</t>
  </si>
  <si>
    <t>module</t>
  </si>
  <si>
    <t>Dr0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</si>
</sst>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0.0"/>
  </numFmts>
  <fonts count="19">
    <font>
      <sz val="12"/>
      <color theme="1"/>
      <name val="Aptos Narrow"/>
      <family val="2"/>
      <scheme val="minor"/>
    </font>
    <font>
      <sz val="12"/>
      <name val="新細明體"/>
      <family val="1"/>
      <charset val="136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theme="1"/>
      <name val="Arial Unicode MS"/>
      <family val="2"/>
    </font>
    <font>
      <sz val="10"/>
      <color theme="1"/>
      <name val="Arial Unicode MS"/>
      <family val="2"/>
    </font>
    <font>
      <sz val="12"/>
      <name val="Arial Unicode MS"/>
      <family val="2"/>
    </font>
    <font>
      <sz val="8"/>
      <name val="Arial Unicode MS"/>
      <family val="2"/>
    </font>
    <font>
      <sz val="12"/>
      <color rgb="FFFF0000"/>
      <name val="Arial Unicode MS"/>
      <family val="2"/>
    </font>
    <font>
      <sz val="12"/>
      <color rgb="FF0070C0"/>
      <name val="Arial Unicode MS"/>
      <family val="2"/>
    </font>
    <font>
      <sz val="12"/>
      <color rgb="FF000000"/>
      <name val="Arial Unicode MS"/>
      <family val="2"/>
    </font>
    <font>
      <sz val="12"/>
      <color theme="0" tint="-0.499984740745262"/>
      <name val="Arial Unicode MS"/>
      <family val="2"/>
    </font>
    <font>
      <sz val="12"/>
      <color theme="0"/>
      <name val="Arial Unicode MS"/>
      <family val="2"/>
    </font>
    <font>
      <sz val="10"/>
      <color theme="1" tint="0.499984740745262"/>
      <name val="Arial Unicode MS"/>
      <family val="2"/>
    </font>
    <font>
      <sz val="10"/>
      <name val="Arial Unicode MS"/>
      <family val="2"/>
    </font>
    <font>
      <sz val="8"/>
      <color theme="1"/>
      <name val="Arial Unicode MS"/>
      <family val="2"/>
    </font>
    <font>
      <sz val="10"/>
      <color theme="2" tint="-0.499984740745262"/>
      <name val="Arial Unicode MS"/>
      <family val="2"/>
    </font>
    <font>
      <sz val="10"/>
      <color rgb="FF000000"/>
      <name val="Aptos Narrow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3">
    <xf numFmtId="0" fontId="0" fillId="0" borderId="0" xfId="0"/>
    <xf numFmtId="0" fontId="4" fillId="0" borderId="0" xfId="0" applyFont="1"/>
    <xf numFmtId="49" fontId="4" fillId="0" borderId="0" xfId="0" applyNumberFormat="1" applyFont="1"/>
    <xf numFmtId="0" fontId="5" fillId="0" borderId="10" xfId="0" applyFont="1" applyBorder="1"/>
    <xf numFmtId="0" fontId="5" fillId="0" borderId="14" xfId="0" applyFont="1" applyBorder="1"/>
    <xf numFmtId="0" fontId="5" fillId="0" borderId="11" xfId="0" applyFont="1" applyBorder="1"/>
    <xf numFmtId="0" fontId="4" fillId="0" borderId="16" xfId="0" applyFont="1" applyBorder="1"/>
    <xf numFmtId="0" fontId="4" fillId="2" borderId="0" xfId="0" applyFont="1" applyFill="1" applyAlignment="1">
      <alignment horizontal="center"/>
    </xf>
    <xf numFmtId="0" fontId="6" fillId="0" borderId="0" xfId="0" applyFont="1"/>
    <xf numFmtId="0" fontId="4" fillId="0" borderId="12" xfId="0" applyFont="1" applyBorder="1"/>
    <xf numFmtId="0" fontId="4" fillId="0" borderId="2" xfId="0" applyFont="1" applyBorder="1"/>
    <xf numFmtId="0" fontId="4" fillId="0" borderId="18" xfId="0" applyFont="1" applyBorder="1"/>
    <xf numFmtId="0" fontId="4" fillId="0" borderId="17" xfId="0" applyFont="1" applyBorder="1"/>
    <xf numFmtId="0" fontId="4" fillId="2" borderId="0" xfId="0" applyFont="1" applyFill="1"/>
    <xf numFmtId="17" fontId="4" fillId="0" borderId="0" xfId="0" applyNumberFormat="1" applyFont="1"/>
    <xf numFmtId="0" fontId="4" fillId="0" borderId="10" xfId="0" applyFont="1" applyBorder="1"/>
    <xf numFmtId="0" fontId="4" fillId="0" borderId="11" xfId="0" applyFont="1" applyBorder="1"/>
    <xf numFmtId="0" fontId="4" fillId="0" borderId="15" xfId="0" applyFont="1" applyBorder="1"/>
    <xf numFmtId="0" fontId="4" fillId="0" borderId="13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17" fontId="4" fillId="2" borderId="0" xfId="0" applyNumberFormat="1" applyFont="1" applyFill="1"/>
    <xf numFmtId="0" fontId="4" fillId="0" borderId="1" xfId="0" applyFont="1" applyBorder="1"/>
    <xf numFmtId="0" fontId="8" fillId="0" borderId="1" xfId="0" applyFont="1" applyBorder="1"/>
    <xf numFmtId="17" fontId="4" fillId="2" borderId="3" xfId="0" applyNumberFormat="1" applyFont="1" applyFill="1" applyBorder="1"/>
    <xf numFmtId="17" fontId="4" fillId="2" borderId="4" xfId="0" applyNumberFormat="1" applyFont="1" applyFill="1" applyBorder="1"/>
    <xf numFmtId="0" fontId="4" fillId="2" borderId="5" xfId="0" applyFont="1" applyFill="1" applyBorder="1"/>
    <xf numFmtId="0" fontId="6" fillId="2" borderId="0" xfId="0" applyFont="1" applyFill="1"/>
    <xf numFmtId="0" fontId="4" fillId="0" borderId="0" xfId="0" applyFont="1" applyAlignment="1">
      <alignment horizontal="left"/>
    </xf>
    <xf numFmtId="165" fontId="10" fillId="0" borderId="0" xfId="0" applyNumberFormat="1" applyFont="1"/>
    <xf numFmtId="1" fontId="10" fillId="0" borderId="0" xfId="0" applyNumberFormat="1" applyFont="1"/>
    <xf numFmtId="0" fontId="4" fillId="0" borderId="6" xfId="0" applyFont="1" applyBorder="1"/>
    <xf numFmtId="0" fontId="4" fillId="0" borderId="7" xfId="0" applyFont="1" applyBorder="1"/>
    <xf numFmtId="2" fontId="4" fillId="0" borderId="0" xfId="0" applyNumberFormat="1" applyFont="1"/>
    <xf numFmtId="0" fontId="4" fillId="0" borderId="9" xfId="0" applyFont="1" applyBorder="1"/>
    <xf numFmtId="1" fontId="10" fillId="0" borderId="7" xfId="0" applyNumberFormat="1" applyFont="1" applyBorder="1"/>
    <xf numFmtId="0" fontId="11" fillId="0" borderId="0" xfId="0" applyFont="1"/>
    <xf numFmtId="0" fontId="12" fillId="0" borderId="2" xfId="0" applyFont="1" applyBorder="1"/>
    <xf numFmtId="0" fontId="4" fillId="0" borderId="8" xfId="0" applyFont="1" applyBorder="1"/>
    <xf numFmtId="0" fontId="4" fillId="0" borderId="14" xfId="0" applyFont="1" applyBorder="1"/>
    <xf numFmtId="0" fontId="6" fillId="0" borderId="14" xfId="0" applyFont="1" applyBorder="1"/>
    <xf numFmtId="0" fontId="6" fillId="0" borderId="11" xfId="0" applyFont="1" applyBorder="1"/>
    <xf numFmtId="0" fontId="6" fillId="0" borderId="18" xfId="0" applyFont="1" applyBorder="1"/>
    <xf numFmtId="0" fontId="6" fillId="0" borderId="15" xfId="0" applyFont="1" applyBorder="1"/>
    <xf numFmtId="0" fontId="6" fillId="0" borderId="13" xfId="0" applyFont="1" applyBorder="1"/>
    <xf numFmtId="0" fontId="13" fillId="0" borderId="10" xfId="0" applyFont="1" applyBorder="1"/>
    <xf numFmtId="0" fontId="13" fillId="0" borderId="14" xfId="0" applyFont="1" applyBorder="1"/>
    <xf numFmtId="0" fontId="14" fillId="0" borderId="14" xfId="0" applyFont="1" applyBorder="1"/>
    <xf numFmtId="0" fontId="14" fillId="0" borderId="11" xfId="0" applyFont="1" applyBorder="1"/>
    <xf numFmtId="0" fontId="13" fillId="0" borderId="2" xfId="0" applyFont="1" applyBorder="1"/>
    <xf numFmtId="0" fontId="13" fillId="0" borderId="0" xfId="0" applyFont="1"/>
    <xf numFmtId="0" fontId="14" fillId="0" borderId="18" xfId="0" applyFont="1" applyBorder="1"/>
    <xf numFmtId="0" fontId="13" fillId="0" borderId="12" xfId="0" applyFont="1" applyBorder="1"/>
    <xf numFmtId="0" fontId="13" fillId="0" borderId="15" xfId="0" applyFont="1" applyBorder="1"/>
    <xf numFmtId="0" fontId="15" fillId="0" borderId="0" xfId="0" applyFont="1"/>
    <xf numFmtId="0" fontId="16" fillId="0" borderId="0" xfId="0" applyFont="1"/>
    <xf numFmtId="0" fontId="15" fillId="0" borderId="9" xfId="0" applyFont="1" applyBorder="1"/>
    <xf numFmtId="0" fontId="4" fillId="3" borderId="0" xfId="0" applyFont="1" applyFill="1"/>
    <xf numFmtId="0" fontId="13" fillId="0" borderId="18" xfId="0" applyFont="1" applyBorder="1"/>
    <xf numFmtId="0" fontId="13" fillId="0" borderId="13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9" fillId="0" borderId="0" xfId="0" applyFont="1"/>
    <xf numFmtId="0" fontId="8" fillId="0" borderId="10" xfId="0" applyFont="1" applyBorder="1"/>
    <xf numFmtId="164" fontId="6" fillId="0" borderId="0" xfId="0" applyNumberFormat="1" applyFont="1"/>
    <xf numFmtId="0" fontId="6" fillId="2" borderId="15" xfId="0" applyFont="1" applyFill="1" applyBorder="1"/>
    <xf numFmtId="17" fontId="6" fillId="0" borderId="0" xfId="0" applyNumberFormat="1" applyFont="1"/>
    <xf numFmtId="0" fontId="14" fillId="0" borderId="0" xfId="0" applyFont="1"/>
    <xf numFmtId="0" fontId="7" fillId="0" borderId="0" xfId="0" applyFont="1"/>
    <xf numFmtId="17" fontId="4" fillId="2" borderId="10" xfId="0" applyNumberFormat="1" applyFont="1" applyFill="1" applyBorder="1"/>
    <xf numFmtId="17" fontId="4" fillId="2" borderId="14" xfId="0" applyNumberFormat="1" applyFont="1" applyFill="1" applyBorder="1"/>
    <xf numFmtId="0" fontId="4" fillId="2" borderId="14" xfId="0" applyFont="1" applyFill="1" applyBorder="1"/>
    <xf numFmtId="17" fontId="4" fillId="2" borderId="14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0" fontId="10" fillId="0" borderId="0" xfId="0" applyFont="1"/>
  </cellXfs>
  <cellStyles count="2">
    <cellStyle name="Normal" xfId="0" builtinId="0"/>
    <cellStyle name="一般_Duty R-2009#02 V1-CCC2" xfId="1" xr:uid="{8083D168-FAD1-FD42-9BBD-D95EB41BF464}"/>
  </cellStyles>
  <dxfs count="47">
    <dxf>
      <font>
        <color rgb="FFFF0000"/>
      </font>
    </dxf>
    <dxf>
      <font>
        <u val="none"/>
      </font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u val="none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u val="none"/>
      </font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u val="none"/>
      </font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  <dxf>
      <font>
        <u val="none"/>
      </font>
      <fill>
        <patternFill>
          <bgColor theme="5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border>
        <right style="thin">
          <color auto="1"/>
        </right>
        <vertical/>
        <horizontal/>
      </border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C71B-29D8-8146-B3BD-775F65C583AE}">
  <dimension ref="A1:CY118"/>
  <sheetViews>
    <sheetView tabSelected="1" zoomScale="120" zoomScaleNormal="120" workbookViewId="0">
      <pane xSplit="4" ySplit="5" topLeftCell="BI7" activePane="bottomRight" state="frozen"/>
      <selection activeCell="C1" sqref="C1"/>
      <selection pane="topRight" activeCell="E1" sqref="E1"/>
      <selection pane="bottomLeft" activeCell="C6" sqref="C6"/>
      <selection pane="bottomRight" activeCell="CS15" sqref="CS15"/>
    </sheetView>
  </sheetViews>
  <sheetFormatPr baseColWidth="10" defaultRowHeight="18"/>
  <cols>
    <col min="1" max="1" width="5.5" style="1" hidden="1" customWidth="1"/>
    <col min="2" max="2" width="4.5" style="1" hidden="1" customWidth="1"/>
    <col min="3" max="3" width="5" style="1" customWidth="1"/>
    <col min="4" max="4" width="10.33203125" style="1" customWidth="1"/>
    <col min="5" max="5" width="3.6640625" style="1" customWidth="1"/>
    <col min="6" max="6" width="3.1640625" style="1" customWidth="1"/>
    <col min="7" max="7" width="4.1640625" style="1" customWidth="1"/>
    <col min="8" max="8" width="3" style="1" hidden="1" customWidth="1"/>
    <col min="9" max="9" width="4" style="1" customWidth="1"/>
    <col min="10" max="10" width="6.83203125" style="1" customWidth="1"/>
    <col min="11" max="11" width="6.1640625" style="1" customWidth="1"/>
    <col min="12" max="12" width="6.6640625" style="1" customWidth="1"/>
    <col min="13" max="13" width="6" style="1" customWidth="1"/>
    <col min="14" max="14" width="4" style="1" customWidth="1"/>
    <col min="15" max="15" width="7.83203125" style="1" customWidth="1"/>
    <col min="16" max="16" width="4.6640625" style="1" customWidth="1"/>
    <col min="17" max="17" width="3.6640625" style="1" customWidth="1"/>
    <col min="18" max="18" width="3.83203125" style="1" customWidth="1"/>
    <col min="19" max="20" width="5.1640625" style="1" customWidth="1"/>
    <col min="21" max="21" width="4.83203125" style="1" customWidth="1"/>
    <col min="22" max="22" width="4.6640625" style="1" customWidth="1"/>
    <col min="23" max="23" width="5" style="1" customWidth="1"/>
    <col min="24" max="24" width="5.33203125" style="1" customWidth="1"/>
    <col min="25" max="25" width="4.5" style="1" customWidth="1"/>
    <col min="26" max="26" width="5.1640625" style="1" customWidth="1"/>
    <col min="27" max="27" width="3.5" style="1" customWidth="1"/>
    <col min="28" max="30" width="3.6640625" style="1" customWidth="1"/>
    <col min="31" max="36" width="3.33203125" style="1" customWidth="1"/>
    <col min="37" max="37" width="6.5" style="1" customWidth="1"/>
    <col min="38" max="42" width="4.33203125" style="1" customWidth="1"/>
    <col min="43" max="44" width="4.33203125" style="21" customWidth="1"/>
    <col min="45" max="49" width="4.33203125" style="1" customWidth="1"/>
    <col min="50" max="51" width="4.33203125" style="21" customWidth="1"/>
    <col min="52" max="56" width="4.33203125" style="1" customWidth="1"/>
    <col min="57" max="58" width="4.33203125" style="21" customWidth="1"/>
    <col min="59" max="63" width="4.33203125" style="1" customWidth="1"/>
    <col min="64" max="65" width="4.33203125" style="21" customWidth="1"/>
    <col min="66" max="67" width="4.33203125" style="1" customWidth="1"/>
    <col min="68" max="68" width="4.33203125" style="1" hidden="1" customWidth="1"/>
    <col min="69" max="69" width="6.6640625" style="1" customWidth="1"/>
    <col min="70" max="70" width="3.33203125" style="1" hidden="1" customWidth="1"/>
    <col min="71" max="71" width="3.5" style="1" hidden="1" customWidth="1"/>
    <col min="72" max="72" width="3.33203125" style="1" hidden="1" customWidth="1"/>
    <col min="73" max="74" width="8" style="1" hidden="1" customWidth="1"/>
    <col min="75" max="75" width="3.83203125" style="1" hidden="1" customWidth="1"/>
    <col min="76" max="76" width="5.33203125" style="1" hidden="1" customWidth="1"/>
    <col min="77" max="77" width="3.83203125" style="1" hidden="1" customWidth="1"/>
    <col min="78" max="78" width="5.6640625" style="1" hidden="1" customWidth="1"/>
    <col min="79" max="81" width="4.1640625" style="1" hidden="1" customWidth="1"/>
    <col min="82" max="83" width="4.6640625" style="1" hidden="1" customWidth="1"/>
    <col min="84" max="84" width="4" style="1" hidden="1" customWidth="1"/>
    <col min="85" max="86" width="3.6640625" style="1" hidden="1" customWidth="1"/>
    <col min="87" max="87" width="4.33203125" style="1" hidden="1" customWidth="1"/>
    <col min="88" max="88" width="6.33203125" style="1" hidden="1" customWidth="1"/>
    <col min="89" max="89" width="8.33203125" style="1" hidden="1" customWidth="1"/>
    <col min="90" max="90" width="0" style="1" hidden="1" customWidth="1"/>
    <col min="91" max="91" width="2.5" style="1" customWidth="1"/>
    <col min="92" max="92" width="3" style="1" customWidth="1"/>
    <col min="93" max="93" width="3.1640625" style="1" hidden="1" customWidth="1"/>
    <col min="94" max="94" width="4.1640625" style="1" customWidth="1"/>
    <col min="95" max="96" width="4.83203125" style="1" customWidth="1"/>
    <col min="97" max="97" width="3.1640625" style="1" customWidth="1"/>
    <col min="98" max="98" width="3.83203125" style="1" customWidth="1"/>
    <col min="99" max="99" width="4" style="1" customWidth="1"/>
    <col min="100" max="100" width="4.83203125" style="1" customWidth="1"/>
    <col min="101" max="101" width="2.6640625" style="1" customWidth="1"/>
    <col min="102" max="102" width="3.6640625" style="1" customWidth="1"/>
    <col min="103" max="103" width="4.5" style="1" hidden="1" customWidth="1"/>
    <col min="104" max="16384" width="10.83203125" style="1"/>
  </cols>
  <sheetData>
    <row r="1" spans="1:103">
      <c r="C1" s="2" t="s">
        <v>131</v>
      </c>
      <c r="E1" s="1" t="s">
        <v>35</v>
      </c>
      <c r="I1" s="3" t="s">
        <v>49</v>
      </c>
      <c r="J1" s="3" t="s">
        <v>73</v>
      </c>
      <c r="K1" s="4" t="s">
        <v>74</v>
      </c>
      <c r="L1" s="5" t="s">
        <v>75</v>
      </c>
      <c r="O1" s="6" t="s">
        <v>30</v>
      </c>
      <c r="AK1" s="7" t="s">
        <v>16</v>
      </c>
      <c r="AO1" s="8"/>
      <c r="AP1" s="8"/>
      <c r="AQ1" s="8"/>
      <c r="AR1" s="8"/>
      <c r="AS1" s="8"/>
      <c r="AT1" s="8"/>
      <c r="AU1" s="8"/>
      <c r="AV1" s="8"/>
      <c r="AW1" s="8"/>
      <c r="AX1" s="76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</row>
    <row r="2" spans="1:103" ht="19" thickBot="1">
      <c r="A2" s="1" t="s">
        <v>36</v>
      </c>
      <c r="B2" s="1">
        <v>2</v>
      </c>
      <c r="I2" s="9">
        <v>4</v>
      </c>
      <c r="J2" s="10">
        <v>2</v>
      </c>
      <c r="K2" s="1">
        <v>4</v>
      </c>
      <c r="L2" s="11"/>
      <c r="O2" s="12">
        <v>30</v>
      </c>
      <c r="AK2" s="13"/>
      <c r="AL2" s="14" t="s">
        <v>116</v>
      </c>
      <c r="AM2" s="1" t="s">
        <v>117</v>
      </c>
      <c r="AO2" s="74"/>
      <c r="AP2" s="8"/>
      <c r="AQ2" s="8"/>
      <c r="AR2" s="8"/>
      <c r="AS2" s="8"/>
      <c r="AT2" s="8" t="s">
        <v>118</v>
      </c>
      <c r="AU2" s="8"/>
      <c r="AV2" s="74"/>
      <c r="AW2" s="8"/>
      <c r="AX2" s="8"/>
      <c r="AY2" s="8"/>
      <c r="AZ2" s="8"/>
      <c r="BA2" s="8" t="s">
        <v>119</v>
      </c>
      <c r="BB2" s="8"/>
      <c r="BC2" s="74"/>
      <c r="BD2" s="8"/>
      <c r="BE2" s="8"/>
      <c r="BF2" s="8"/>
      <c r="BG2" s="8"/>
      <c r="BH2" s="8" t="s">
        <v>120</v>
      </c>
      <c r="BI2" s="8"/>
      <c r="BJ2" s="74"/>
      <c r="BK2" s="8"/>
      <c r="BL2" s="8"/>
      <c r="BM2" s="8"/>
      <c r="BN2" s="8"/>
      <c r="BO2" s="8" t="s">
        <v>121</v>
      </c>
      <c r="BP2" s="8"/>
      <c r="BW2" s="1" t="s">
        <v>145</v>
      </c>
    </row>
    <row r="3" spans="1:103" ht="19" thickBot="1">
      <c r="A3" s="1" t="s">
        <v>31</v>
      </c>
      <c r="B3" s="1" t="s">
        <v>5</v>
      </c>
      <c r="C3" s="15" t="s">
        <v>42</v>
      </c>
      <c r="D3" s="16" t="s">
        <v>5</v>
      </c>
      <c r="J3" s="9"/>
      <c r="K3" s="17"/>
      <c r="L3" s="18">
        <v>1</v>
      </c>
      <c r="AB3" s="19"/>
      <c r="AC3" s="19"/>
      <c r="AD3" s="19"/>
      <c r="AE3" s="19">
        <v>26</v>
      </c>
      <c r="AF3" s="19">
        <v>27</v>
      </c>
      <c r="AG3" s="19">
        <v>28</v>
      </c>
      <c r="AH3" s="19">
        <v>29</v>
      </c>
      <c r="AI3" s="19">
        <v>30</v>
      </c>
      <c r="AJ3" s="19">
        <v>31</v>
      </c>
      <c r="AK3" s="13"/>
      <c r="AL3" s="20">
        <v>45962</v>
      </c>
      <c r="AM3" s="20">
        <v>45963</v>
      </c>
      <c r="AN3" s="20">
        <v>45964</v>
      </c>
      <c r="AO3" s="72">
        <v>45965</v>
      </c>
      <c r="AP3" s="72">
        <v>45966</v>
      </c>
      <c r="AQ3" s="72">
        <v>45967</v>
      </c>
      <c r="AR3" s="72">
        <v>45968</v>
      </c>
      <c r="AS3" s="72">
        <v>45969</v>
      </c>
      <c r="AT3" s="72">
        <v>45970</v>
      </c>
      <c r="AU3" s="72">
        <v>45971</v>
      </c>
      <c r="AV3" s="72">
        <v>45972</v>
      </c>
      <c r="AW3" s="72">
        <v>45973</v>
      </c>
      <c r="AX3" s="72">
        <v>45974</v>
      </c>
      <c r="AY3" s="72">
        <v>45975</v>
      </c>
      <c r="AZ3" s="72">
        <v>45976</v>
      </c>
      <c r="BA3" s="72">
        <v>45977</v>
      </c>
      <c r="BB3" s="72">
        <v>45978</v>
      </c>
      <c r="BC3" s="72">
        <v>45979</v>
      </c>
      <c r="BD3" s="72">
        <v>45980</v>
      </c>
      <c r="BE3" s="72">
        <v>45981</v>
      </c>
      <c r="BF3" s="72">
        <v>45982</v>
      </c>
      <c r="BG3" s="72">
        <v>45983</v>
      </c>
      <c r="BH3" s="72">
        <v>45984</v>
      </c>
      <c r="BI3" s="72">
        <v>45985</v>
      </c>
      <c r="BJ3" s="72">
        <v>45986</v>
      </c>
      <c r="BK3" s="72">
        <v>45987</v>
      </c>
      <c r="BL3" s="72">
        <v>45988</v>
      </c>
      <c r="BM3" s="72">
        <v>45989</v>
      </c>
      <c r="BN3" s="72">
        <v>45990</v>
      </c>
      <c r="BO3" s="72">
        <v>45991</v>
      </c>
      <c r="BP3" s="72"/>
    </row>
    <row r="4" spans="1:103" s="24" customFormat="1" ht="19" thickBot="1">
      <c r="A4" s="1"/>
      <c r="B4" s="1"/>
      <c r="C4" s="9" t="s">
        <v>175</v>
      </c>
      <c r="D4" s="18">
        <v>2</v>
      </c>
      <c r="E4" s="21" t="s">
        <v>13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22" t="s">
        <v>12</v>
      </c>
      <c r="V4" s="19"/>
      <c r="W4" s="19"/>
      <c r="X4" s="19"/>
      <c r="Y4" s="19"/>
      <c r="Z4" s="19"/>
      <c r="AA4" s="19"/>
      <c r="AB4" s="14"/>
      <c r="AC4" s="14"/>
      <c r="AD4" s="14"/>
      <c r="AE4" s="14" t="s">
        <v>81</v>
      </c>
      <c r="AF4" s="14" t="s">
        <v>82</v>
      </c>
      <c r="AG4" s="14" t="s">
        <v>83</v>
      </c>
      <c r="AH4" s="14" t="s">
        <v>77</v>
      </c>
      <c r="AI4" s="14" t="s">
        <v>78</v>
      </c>
      <c r="AJ4" s="14" t="s">
        <v>79</v>
      </c>
      <c r="AK4" s="23"/>
      <c r="AL4" s="20" t="s">
        <v>80</v>
      </c>
      <c r="AM4" s="20" t="s">
        <v>81</v>
      </c>
      <c r="AN4" s="20" t="s">
        <v>82</v>
      </c>
      <c r="AO4" s="72" t="s">
        <v>83</v>
      </c>
      <c r="AP4" s="72" t="s">
        <v>77</v>
      </c>
      <c r="AQ4" s="72" t="s">
        <v>78</v>
      </c>
      <c r="AR4" s="72" t="s">
        <v>79</v>
      </c>
      <c r="AS4" s="72" t="s">
        <v>80</v>
      </c>
      <c r="AT4" s="72" t="s">
        <v>81</v>
      </c>
      <c r="AU4" s="72" t="s">
        <v>82</v>
      </c>
      <c r="AV4" s="72" t="s">
        <v>83</v>
      </c>
      <c r="AW4" s="72" t="s">
        <v>77</v>
      </c>
      <c r="AX4" s="72" t="s">
        <v>78</v>
      </c>
      <c r="AY4" s="72" t="s">
        <v>79</v>
      </c>
      <c r="AZ4" s="72" t="s">
        <v>80</v>
      </c>
      <c r="BA4" s="72" t="s">
        <v>81</v>
      </c>
      <c r="BB4" s="72" t="s">
        <v>82</v>
      </c>
      <c r="BC4" s="72" t="s">
        <v>83</v>
      </c>
      <c r="BD4" s="72" t="s">
        <v>77</v>
      </c>
      <c r="BE4" s="72" t="s">
        <v>78</v>
      </c>
      <c r="BF4" s="72" t="s">
        <v>79</v>
      </c>
      <c r="BG4" s="72" t="s">
        <v>80</v>
      </c>
      <c r="BH4" s="72" t="s">
        <v>81</v>
      </c>
      <c r="BI4" s="72" t="s">
        <v>82</v>
      </c>
      <c r="BJ4" s="72" t="s">
        <v>83</v>
      </c>
      <c r="BK4" s="72" t="s">
        <v>77</v>
      </c>
      <c r="BL4" s="72" t="s">
        <v>78</v>
      </c>
      <c r="BM4" s="72" t="s">
        <v>79</v>
      </c>
      <c r="BN4" s="72" t="s">
        <v>80</v>
      </c>
      <c r="BO4" s="72" t="s">
        <v>81</v>
      </c>
      <c r="BP4" s="72"/>
      <c r="CM4" s="25" t="s">
        <v>84</v>
      </c>
    </row>
    <row r="5" spans="1:103" s="13" customFormat="1">
      <c r="C5" s="13" t="s">
        <v>6</v>
      </c>
      <c r="D5" s="13" t="s">
        <v>7</v>
      </c>
      <c r="E5" s="77" t="s">
        <v>50</v>
      </c>
      <c r="F5" s="78" t="s">
        <v>51</v>
      </c>
      <c r="G5" s="79" t="s">
        <v>52</v>
      </c>
      <c r="H5" s="78" t="s">
        <v>26</v>
      </c>
      <c r="I5" s="78" t="s">
        <v>49</v>
      </c>
      <c r="J5" s="78" t="s">
        <v>23</v>
      </c>
      <c r="K5" s="78" t="s">
        <v>25</v>
      </c>
      <c r="L5" s="78" t="s">
        <v>24</v>
      </c>
      <c r="M5" s="80" t="s">
        <v>48</v>
      </c>
      <c r="N5" s="80" t="s">
        <v>47</v>
      </c>
      <c r="O5" s="80" t="s">
        <v>3</v>
      </c>
      <c r="P5" s="80" t="s">
        <v>46</v>
      </c>
      <c r="Q5" s="80" t="s">
        <v>47</v>
      </c>
      <c r="R5" s="80" t="s">
        <v>53</v>
      </c>
      <c r="S5" s="80" t="s">
        <v>54</v>
      </c>
      <c r="T5" s="80" t="s">
        <v>55</v>
      </c>
      <c r="U5" s="26" t="s">
        <v>23</v>
      </c>
      <c r="V5" s="27" t="s">
        <v>25</v>
      </c>
      <c r="W5" s="27" t="s">
        <v>24</v>
      </c>
      <c r="X5" s="27" t="s">
        <v>9</v>
      </c>
      <c r="Y5" s="27" t="s">
        <v>27</v>
      </c>
      <c r="Z5" s="27" t="s">
        <v>4</v>
      </c>
      <c r="AA5" s="27" t="s">
        <v>45</v>
      </c>
      <c r="AB5" s="27" t="s">
        <v>10</v>
      </c>
      <c r="AC5" s="28" t="s">
        <v>8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S5" s="13" t="s">
        <v>62</v>
      </c>
      <c r="BT5" s="13" t="s">
        <v>63</v>
      </c>
      <c r="BU5" s="13" t="s">
        <v>71</v>
      </c>
      <c r="BV5" s="13" t="s">
        <v>29</v>
      </c>
      <c r="BY5" s="13" t="s">
        <v>70</v>
      </c>
      <c r="BZ5" s="13" t="s">
        <v>66</v>
      </c>
      <c r="CA5" s="13" t="s">
        <v>64</v>
      </c>
      <c r="CB5" s="13" t="s">
        <v>67</v>
      </c>
      <c r="CC5" s="13" t="s">
        <v>65</v>
      </c>
      <c r="CD5" s="13" t="s">
        <v>68</v>
      </c>
      <c r="CE5" s="13" t="s">
        <v>69</v>
      </c>
      <c r="CF5" s="13" t="s">
        <v>32</v>
      </c>
      <c r="CG5" s="13" t="s">
        <v>33</v>
      </c>
      <c r="CH5" s="13" t="s">
        <v>5</v>
      </c>
      <c r="CI5" s="13" t="s">
        <v>39</v>
      </c>
      <c r="CJ5" s="13" t="s">
        <v>37</v>
      </c>
      <c r="CK5" s="13" t="s">
        <v>34</v>
      </c>
      <c r="CM5" s="13" t="s">
        <v>70</v>
      </c>
      <c r="CN5" s="13" t="s">
        <v>89</v>
      </c>
      <c r="CO5" s="13" t="s">
        <v>90</v>
      </c>
      <c r="CP5" s="13" t="s">
        <v>86</v>
      </c>
      <c r="CQ5" s="13" t="s">
        <v>66</v>
      </c>
      <c r="CR5" s="13" t="s">
        <v>88</v>
      </c>
      <c r="CS5" s="13" t="s">
        <v>65</v>
      </c>
      <c r="CT5" s="13" t="s">
        <v>114</v>
      </c>
      <c r="CU5" s="13" t="s">
        <v>87</v>
      </c>
      <c r="CV5" s="13" t="s">
        <v>85</v>
      </c>
      <c r="CW5" s="13" t="s">
        <v>68</v>
      </c>
      <c r="CX5" s="13" t="s">
        <v>69</v>
      </c>
      <c r="CY5" s="13" t="s">
        <v>115</v>
      </c>
    </row>
    <row r="6" spans="1:103" hidden="1">
      <c r="C6" s="1" t="s">
        <v>2</v>
      </c>
      <c r="D6" s="1" t="s">
        <v>176</v>
      </c>
      <c r="E6" s="10"/>
      <c r="N6" s="30">
        <v>1</v>
      </c>
      <c r="O6" s="31">
        <f>CK6</f>
        <v>1.75</v>
      </c>
      <c r="P6" s="32"/>
      <c r="Q6" s="32"/>
      <c r="R6" s="32"/>
      <c r="S6" s="32"/>
      <c r="T6" s="32"/>
      <c r="U6" s="33"/>
      <c r="AC6" s="34"/>
      <c r="AE6" s="1" t="s">
        <v>38</v>
      </c>
      <c r="AF6" s="1" t="s">
        <v>26</v>
      </c>
      <c r="AG6" s="1" t="s">
        <v>26</v>
      </c>
      <c r="AH6" s="1" t="s">
        <v>133</v>
      </c>
      <c r="AI6" s="1" t="s">
        <v>26</v>
      </c>
      <c r="AJ6" s="1" t="s">
        <v>133</v>
      </c>
      <c r="AK6" s="13"/>
      <c r="AN6" s="8" t="s">
        <v>26</v>
      </c>
      <c r="AO6" s="8" t="s">
        <v>26</v>
      </c>
      <c r="AP6" s="8" t="s">
        <v>26</v>
      </c>
      <c r="AQ6" s="8" t="s">
        <v>145</v>
      </c>
      <c r="AR6" s="8" t="s">
        <v>26</v>
      </c>
      <c r="AS6" s="8"/>
      <c r="AT6" s="8"/>
      <c r="AU6" s="8" t="s">
        <v>26</v>
      </c>
      <c r="AV6" s="8" t="s">
        <v>26</v>
      </c>
      <c r="AW6" s="8" t="s">
        <v>26</v>
      </c>
      <c r="AX6" s="8" t="s">
        <v>26</v>
      </c>
      <c r="AY6" s="8" t="s">
        <v>26</v>
      </c>
      <c r="AZ6" s="8"/>
      <c r="BA6" s="8"/>
      <c r="BB6" s="8" t="s">
        <v>26</v>
      </c>
      <c r="BC6" s="8" t="s">
        <v>132</v>
      </c>
      <c r="BD6" s="8" t="s">
        <v>132</v>
      </c>
      <c r="BE6" s="8" t="s">
        <v>132</v>
      </c>
      <c r="BF6" s="8" t="s">
        <v>132</v>
      </c>
      <c r="BG6" s="8" t="s">
        <v>132</v>
      </c>
      <c r="BH6" s="8" t="s">
        <v>38</v>
      </c>
      <c r="BI6" s="8" t="s">
        <v>26</v>
      </c>
      <c r="BJ6" s="8" t="s">
        <v>26</v>
      </c>
      <c r="BK6" s="8" t="s">
        <v>26</v>
      </c>
      <c r="BL6" s="8" t="s">
        <v>26</v>
      </c>
      <c r="BM6" s="8" t="s">
        <v>26</v>
      </c>
      <c r="BN6" s="8"/>
      <c r="BO6" s="8"/>
      <c r="BP6" s="8"/>
      <c r="BS6" s="1">
        <f>COUNTIF(AL6:BP6, "*T*")-COUNTIF(AL6:BP6, "*½t*")+COUNTIF(AL6:BP6, "*½t*")/2+COUNTIF(AL6:BP6, "*½Z*")/2</f>
        <v>0.5</v>
      </c>
      <c r="BT6" s="1">
        <f>COUNTIF(AL6:BP6, "*Z*")-COUNTIF(AL6:BP6, "*½Z*")+COUNTIF(AL6:BP6, "*A*")-COUNTIF(AL6:BP6, "*AP*")-COUNTIF(AL6:BP6, "*no*")-COUNTIF(AL6:BP6, "*AL*")+COUNTIF(AL6:BP6, "*P*")+COUNTIF(AL6:BP6, "*N*")</f>
        <v>15</v>
      </c>
      <c r="BU6" s="1">
        <v>-137.25</v>
      </c>
      <c r="BV6" s="1">
        <f>BU6+8*BS6+9*BT6</f>
        <v>1.75</v>
      </c>
      <c r="CH6" s="1">
        <f>-(2*SUM(E6:G6))+COUNTIF(AL6,"*N*")</f>
        <v>0</v>
      </c>
      <c r="CJ6" s="1">
        <v>1</v>
      </c>
      <c r="CK6" s="35">
        <f t="shared" ref="CK6:CK34" si="0">(BV6+SUM(BW6:CI6))/CJ6</f>
        <v>1.75</v>
      </c>
      <c r="CV6" s="1">
        <v>2</v>
      </c>
    </row>
    <row r="7" spans="1:103">
      <c r="C7" s="1" t="s">
        <v>20</v>
      </c>
      <c r="D7" s="1" t="s">
        <v>147</v>
      </c>
      <c r="E7" s="10"/>
      <c r="N7" s="30">
        <v>1</v>
      </c>
      <c r="O7" s="31">
        <f t="shared" ref="O7:O34" si="1">CK7</f>
        <v>-82.5</v>
      </c>
      <c r="P7" s="32">
        <v>-18</v>
      </c>
      <c r="Q7" s="32">
        <v>-20</v>
      </c>
      <c r="R7" s="32"/>
      <c r="S7" s="32"/>
      <c r="T7" s="32"/>
      <c r="U7" s="33"/>
      <c r="AC7" s="34"/>
      <c r="AD7" s="81"/>
      <c r="AE7" s="1" t="s">
        <v>38</v>
      </c>
      <c r="AF7" s="1" t="s">
        <v>143</v>
      </c>
      <c r="AG7" s="1" t="s">
        <v>143</v>
      </c>
      <c r="AH7" s="1" t="s">
        <v>133</v>
      </c>
      <c r="AI7" s="1" t="s">
        <v>26</v>
      </c>
      <c r="AJ7" s="1" t="s">
        <v>143</v>
      </c>
      <c r="AK7" s="13"/>
      <c r="AL7" s="1" t="s">
        <v>145</v>
      </c>
      <c r="AM7" s="20"/>
      <c r="AN7" s="72"/>
      <c r="AO7" s="72" t="s">
        <v>26</v>
      </c>
      <c r="AP7" s="72"/>
      <c r="AQ7" s="72" t="s">
        <v>26</v>
      </c>
      <c r="AR7" s="72"/>
      <c r="AS7" s="72"/>
      <c r="AT7" s="72"/>
      <c r="AU7" s="72"/>
      <c r="AV7" s="72"/>
      <c r="AW7" s="72" t="s">
        <v>26</v>
      </c>
      <c r="AX7" s="72"/>
      <c r="AY7" s="72" t="s">
        <v>26</v>
      </c>
      <c r="AZ7" s="72" t="s">
        <v>145</v>
      </c>
      <c r="BA7" s="72"/>
      <c r="BB7" s="72" t="s">
        <v>26</v>
      </c>
      <c r="BC7" s="72"/>
      <c r="BD7" s="72" t="s">
        <v>26</v>
      </c>
      <c r="BE7" s="72" t="s">
        <v>136</v>
      </c>
      <c r="BF7" s="72" t="s">
        <v>26</v>
      </c>
      <c r="BG7" s="72"/>
      <c r="BH7" s="72" t="s">
        <v>38</v>
      </c>
      <c r="BI7" s="72" t="s">
        <v>132</v>
      </c>
      <c r="BJ7" s="72" t="s">
        <v>132</v>
      </c>
      <c r="BK7" s="72" t="s">
        <v>132</v>
      </c>
      <c r="BL7" s="72" t="s">
        <v>132</v>
      </c>
      <c r="BM7" s="72" t="s">
        <v>44</v>
      </c>
      <c r="BN7" s="72" t="s">
        <v>43</v>
      </c>
      <c r="BO7" s="72" t="s">
        <v>38</v>
      </c>
      <c r="BP7" s="72"/>
      <c r="BS7" s="1">
        <f t="shared" ref="BS7:BS34" si="2">COUNTIF(AL7:BP7, "*T*")-COUNTIF(AL7:BP7, "*½t*")+COUNTIF(AL7:BP7, "*½t*")/2+COUNTIF(AL7:BP7, "*½Z*")/2</f>
        <v>1</v>
      </c>
      <c r="BT7" s="1">
        <f t="shared" ref="BT7:BT34" si="3">COUNTIF(AL7:BP7, "*Z*")-COUNTIF(AL7:BP7, "*½Z*")+COUNTIF(AL7:BP7, "*A*")-COUNTIF(AL7:BP7, "*AP*")-COUNTIF(AL7:BP7, "*no*")-COUNTIF(AL7:BP7, "*AL*")+COUNTIF(AL7:BP7, "*P*")+COUNTIF(AL7:BP7, "*N*")</f>
        <v>8</v>
      </c>
      <c r="BU7" s="1">
        <v>-162.5</v>
      </c>
      <c r="BV7" s="1">
        <f t="shared" ref="BV7:BV34" si="4">BU7+8*BS7+9*BT7</f>
        <v>-82.5</v>
      </c>
      <c r="CH7" s="1">
        <f t="shared" ref="CH7:CH34" si="5">-(2*SUM(E7:G7))+COUNTIF(AL7,"*N*")</f>
        <v>0</v>
      </c>
      <c r="CJ7" s="35">
        <v>1</v>
      </c>
      <c r="CK7" s="35">
        <f t="shared" si="0"/>
        <v>-82.5</v>
      </c>
      <c r="CM7" s="1">
        <v>3</v>
      </c>
      <c r="CT7" s="1">
        <v>1</v>
      </c>
      <c r="CV7" s="1">
        <v>1</v>
      </c>
    </row>
    <row r="8" spans="1:103">
      <c r="A8" s="14" t="s">
        <v>76</v>
      </c>
      <c r="B8" s="14" t="s">
        <v>122</v>
      </c>
      <c r="C8" s="1" t="s">
        <v>21</v>
      </c>
      <c r="D8" s="1" t="s">
        <v>148</v>
      </c>
      <c r="E8" s="10"/>
      <c r="N8" s="30">
        <v>1</v>
      </c>
      <c r="O8" s="31">
        <f t="shared" si="1"/>
        <v>-90.5</v>
      </c>
      <c r="P8" s="32">
        <v>-1</v>
      </c>
      <c r="Q8" s="32">
        <v>1</v>
      </c>
      <c r="R8" s="32"/>
      <c r="S8" s="32"/>
      <c r="T8" s="32"/>
      <c r="U8" s="33"/>
      <c r="AC8" s="34"/>
      <c r="AE8" s="1" t="s">
        <v>38</v>
      </c>
      <c r="AF8" s="1" t="s">
        <v>132</v>
      </c>
      <c r="AG8" s="1" t="s">
        <v>132</v>
      </c>
      <c r="AH8" s="1" t="s">
        <v>44</v>
      </c>
      <c r="AI8" s="1" t="s">
        <v>132</v>
      </c>
      <c r="AJ8" s="1" t="s">
        <v>132</v>
      </c>
      <c r="AK8" s="13"/>
      <c r="AL8" s="1" t="s">
        <v>133</v>
      </c>
      <c r="AM8" s="20" t="s">
        <v>38</v>
      </c>
      <c r="AN8" s="72"/>
      <c r="AO8" s="72"/>
      <c r="AP8" s="72" t="s">
        <v>141</v>
      </c>
      <c r="AQ8" s="72"/>
      <c r="AR8" s="72" t="s">
        <v>141</v>
      </c>
      <c r="AS8" s="72" t="s">
        <v>145</v>
      </c>
      <c r="AT8" s="72"/>
      <c r="AU8" s="72"/>
      <c r="AV8" s="72" t="s">
        <v>26</v>
      </c>
      <c r="AW8" s="72"/>
      <c r="AX8" s="72" t="s">
        <v>26</v>
      </c>
      <c r="AY8" s="72"/>
      <c r="AZ8" s="72"/>
      <c r="BA8" s="72"/>
      <c r="BB8" s="72"/>
      <c r="BC8" s="72" t="s">
        <v>26</v>
      </c>
      <c r="BD8" s="72"/>
      <c r="BE8" s="72" t="s">
        <v>26</v>
      </c>
      <c r="BF8" s="72" t="s">
        <v>134</v>
      </c>
      <c r="BG8" s="72" t="s">
        <v>145</v>
      </c>
      <c r="BH8" s="72"/>
      <c r="BI8" s="72" t="s">
        <v>141</v>
      </c>
      <c r="BJ8" s="72"/>
      <c r="BK8" s="72" t="s">
        <v>141</v>
      </c>
      <c r="BL8" s="72"/>
      <c r="BM8" s="72" t="s">
        <v>26</v>
      </c>
      <c r="BN8" s="72"/>
      <c r="BO8" s="72" t="s">
        <v>38</v>
      </c>
      <c r="BP8" s="72"/>
      <c r="BS8" s="1">
        <f t="shared" si="2"/>
        <v>1</v>
      </c>
      <c r="BT8" s="1">
        <f t="shared" si="3"/>
        <v>9</v>
      </c>
      <c r="BU8" s="1">
        <v>-179.5</v>
      </c>
      <c r="BV8" s="1">
        <f t="shared" si="4"/>
        <v>-90.5</v>
      </c>
      <c r="CH8" s="1">
        <f t="shared" si="5"/>
        <v>0</v>
      </c>
      <c r="CJ8" s="35">
        <v>1</v>
      </c>
      <c r="CK8" s="35">
        <f t="shared" si="0"/>
        <v>-90.5</v>
      </c>
      <c r="CM8" s="1">
        <v>2</v>
      </c>
      <c r="CT8" s="1">
        <v>2</v>
      </c>
      <c r="CU8" s="1">
        <v>2</v>
      </c>
      <c r="CV8" s="1">
        <v>1</v>
      </c>
    </row>
    <row r="9" spans="1:103">
      <c r="A9" s="1">
        <v>10</v>
      </c>
      <c r="B9" s="1">
        <f>A9+SUM(E9:G9)</f>
        <v>11</v>
      </c>
      <c r="C9" s="1" t="s">
        <v>22</v>
      </c>
      <c r="D9" s="1" t="s">
        <v>149</v>
      </c>
      <c r="E9" s="10">
        <v>1</v>
      </c>
      <c r="J9" s="1">
        <v>3</v>
      </c>
      <c r="K9" s="1">
        <v>6</v>
      </c>
      <c r="L9" s="1">
        <v>0</v>
      </c>
      <c r="M9" s="1">
        <v>0.4</v>
      </c>
      <c r="N9" s="30">
        <v>0.7</v>
      </c>
      <c r="O9" s="31">
        <f t="shared" si="1"/>
        <v>-71.5</v>
      </c>
      <c r="P9" s="32"/>
      <c r="Q9" s="32"/>
      <c r="R9" s="32">
        <v>1</v>
      </c>
      <c r="S9" s="32">
        <v>1</v>
      </c>
      <c r="T9" s="32">
        <v>1</v>
      </c>
      <c r="U9" s="33"/>
      <c r="AC9" s="34"/>
      <c r="AE9" s="1" t="s">
        <v>38</v>
      </c>
      <c r="AF9" s="1" t="s">
        <v>26</v>
      </c>
      <c r="AG9" s="1" t="s">
        <v>143</v>
      </c>
      <c r="AH9" s="1" t="s">
        <v>144</v>
      </c>
      <c r="AI9" s="1" t="s">
        <v>139</v>
      </c>
      <c r="AJ9" s="1" t="s">
        <v>26</v>
      </c>
      <c r="AK9" s="13"/>
      <c r="AN9" s="8" t="s">
        <v>26</v>
      </c>
      <c r="AO9" s="8"/>
      <c r="AP9" s="8" t="s">
        <v>136</v>
      </c>
      <c r="AQ9" s="8"/>
      <c r="AR9" s="8"/>
      <c r="AS9" s="8" t="s">
        <v>136</v>
      </c>
      <c r="AT9" s="8"/>
      <c r="AU9" s="8" t="s">
        <v>26</v>
      </c>
      <c r="AV9" s="8" t="s">
        <v>134</v>
      </c>
      <c r="AW9" s="8" t="s">
        <v>143</v>
      </c>
      <c r="AX9" s="8"/>
      <c r="AY9" s="8"/>
      <c r="AZ9" s="72"/>
      <c r="BA9" s="8"/>
      <c r="BB9" s="8"/>
      <c r="BC9" s="8" t="s">
        <v>133</v>
      </c>
      <c r="BD9" s="8" t="s">
        <v>136</v>
      </c>
      <c r="BE9" s="8"/>
      <c r="BF9" s="8" t="s">
        <v>135</v>
      </c>
      <c r="BG9" s="8"/>
      <c r="BH9" s="8"/>
      <c r="BI9" s="8"/>
      <c r="BJ9" s="8" t="s">
        <v>26</v>
      </c>
      <c r="BK9" s="8"/>
      <c r="BL9" s="8" t="s">
        <v>26</v>
      </c>
      <c r="BM9" s="8"/>
      <c r="BN9" s="8" t="s">
        <v>145</v>
      </c>
      <c r="BO9" s="8"/>
      <c r="BP9" s="8"/>
      <c r="BS9" s="1">
        <f t="shared" si="2"/>
        <v>0.5</v>
      </c>
      <c r="BT9" s="1">
        <f t="shared" si="3"/>
        <v>9</v>
      </c>
      <c r="BU9" s="1">
        <v>-154.5</v>
      </c>
      <c r="BV9" s="1">
        <f t="shared" si="4"/>
        <v>-69.5</v>
      </c>
      <c r="CH9" s="1">
        <f t="shared" si="5"/>
        <v>-2</v>
      </c>
      <c r="CJ9" s="35">
        <v>1</v>
      </c>
      <c r="CK9" s="35">
        <f t="shared" si="0"/>
        <v>-71.5</v>
      </c>
      <c r="CM9" s="1">
        <v>2</v>
      </c>
      <c r="CQ9" s="1">
        <v>3</v>
      </c>
      <c r="CT9" s="1">
        <v>1</v>
      </c>
      <c r="CV9" s="1">
        <v>1</v>
      </c>
      <c r="CW9" s="1">
        <v>3</v>
      </c>
    </row>
    <row r="10" spans="1:103">
      <c r="A10" s="1">
        <v>20</v>
      </c>
      <c r="B10" s="1">
        <f t="shared" ref="B10:B34" si="6">A10+SUM(E10:G10)</f>
        <v>22</v>
      </c>
      <c r="C10" s="1" t="s">
        <v>15</v>
      </c>
      <c r="D10" s="1" t="s">
        <v>150</v>
      </c>
      <c r="E10" s="10">
        <v>2</v>
      </c>
      <c r="J10" s="1">
        <v>3</v>
      </c>
      <c r="K10" s="1">
        <v>5</v>
      </c>
      <c r="L10" s="1">
        <v>1</v>
      </c>
      <c r="M10" s="1">
        <v>0.7</v>
      </c>
      <c r="N10" s="30">
        <v>0.9</v>
      </c>
      <c r="O10" s="31">
        <f t="shared" si="1"/>
        <v>-85.25</v>
      </c>
      <c r="P10" s="32"/>
      <c r="Q10" s="32"/>
      <c r="R10" s="32">
        <v>1</v>
      </c>
      <c r="S10" s="32">
        <v>1</v>
      </c>
      <c r="T10" s="32">
        <v>1</v>
      </c>
      <c r="U10" s="33"/>
      <c r="AC10" s="34"/>
      <c r="AE10" s="1" t="s">
        <v>5</v>
      </c>
      <c r="AF10" s="82" t="s">
        <v>38</v>
      </c>
      <c r="AG10" s="1" t="s">
        <v>143</v>
      </c>
      <c r="AH10" s="1" t="s">
        <v>143</v>
      </c>
      <c r="AI10" s="1" t="s">
        <v>143</v>
      </c>
      <c r="AJ10" s="1" t="s">
        <v>143</v>
      </c>
      <c r="AK10" s="13"/>
      <c r="AN10" s="8" t="s">
        <v>136</v>
      </c>
      <c r="AO10" s="8"/>
      <c r="AP10" s="8" t="s">
        <v>132</v>
      </c>
      <c r="AQ10" s="8" t="s">
        <v>132</v>
      </c>
      <c r="AR10" s="8" t="s">
        <v>132</v>
      </c>
      <c r="AS10" s="8"/>
      <c r="AT10" s="8"/>
      <c r="AU10" s="8" t="s">
        <v>136</v>
      </c>
      <c r="AV10" s="8"/>
      <c r="AW10" s="8"/>
      <c r="AX10" s="8" t="s">
        <v>136</v>
      </c>
      <c r="AY10" s="8"/>
      <c r="AZ10" s="8"/>
      <c r="BA10" s="8"/>
      <c r="BB10" s="8"/>
      <c r="BC10" s="8"/>
      <c r="BD10" s="8"/>
      <c r="BE10" s="8" t="s">
        <v>136</v>
      </c>
      <c r="BF10" s="8"/>
      <c r="BG10" s="8"/>
      <c r="BH10" s="8"/>
      <c r="BI10" s="8" t="s">
        <v>136</v>
      </c>
      <c r="BJ10" s="8"/>
      <c r="BK10" s="8"/>
      <c r="BL10" s="8" t="s">
        <v>136</v>
      </c>
      <c r="BM10" s="8"/>
      <c r="BN10" s="8"/>
      <c r="BO10" s="8"/>
      <c r="BP10" s="8"/>
      <c r="BS10" s="1">
        <f t="shared" si="2"/>
        <v>0</v>
      </c>
      <c r="BT10" s="1">
        <f t="shared" si="3"/>
        <v>6</v>
      </c>
      <c r="BU10" s="1">
        <v>-137.25</v>
      </c>
      <c r="BV10" s="1">
        <f t="shared" si="4"/>
        <v>-83.25</v>
      </c>
      <c r="CF10" s="1">
        <v>2</v>
      </c>
      <c r="CH10" s="1">
        <f t="shared" si="5"/>
        <v>-4</v>
      </c>
      <c r="CJ10" s="35">
        <v>1</v>
      </c>
      <c r="CK10" s="35">
        <f t="shared" si="0"/>
        <v>-85.25</v>
      </c>
      <c r="CM10" s="1">
        <v>1</v>
      </c>
      <c r="CN10" s="1">
        <v>3</v>
      </c>
      <c r="CQ10" s="1">
        <v>2</v>
      </c>
      <c r="CS10" s="1">
        <v>2</v>
      </c>
      <c r="CU10" s="1">
        <v>1</v>
      </c>
      <c r="CW10" s="1">
        <v>2</v>
      </c>
      <c r="CX10" s="1">
        <v>4</v>
      </c>
    </row>
    <row r="11" spans="1:103">
      <c r="A11" s="1">
        <v>8</v>
      </c>
      <c r="B11" s="1">
        <f t="shared" si="6"/>
        <v>10</v>
      </c>
      <c r="C11" s="1" t="s">
        <v>15</v>
      </c>
      <c r="D11" s="1" t="s">
        <v>151</v>
      </c>
      <c r="E11" s="10">
        <v>2</v>
      </c>
      <c r="J11" s="1">
        <v>3</v>
      </c>
      <c r="K11" s="1">
        <v>5</v>
      </c>
      <c r="L11" s="1">
        <v>1</v>
      </c>
      <c r="M11" s="1">
        <v>0.7</v>
      </c>
      <c r="N11" s="30">
        <v>0.9</v>
      </c>
      <c r="O11" s="31">
        <f t="shared" si="1"/>
        <v>-146.75</v>
      </c>
      <c r="P11" s="32"/>
      <c r="Q11" s="32"/>
      <c r="R11" s="32">
        <v>1</v>
      </c>
      <c r="S11" s="32">
        <v>1</v>
      </c>
      <c r="T11" s="32">
        <v>1</v>
      </c>
      <c r="U11" s="33"/>
      <c r="AC11" s="34"/>
      <c r="AE11" s="1" t="s">
        <v>143</v>
      </c>
      <c r="AF11" s="1" t="s">
        <v>143</v>
      </c>
      <c r="AG11" s="1" t="s">
        <v>143</v>
      </c>
      <c r="AH11" s="82" t="s">
        <v>38</v>
      </c>
      <c r="AI11" s="1" t="s">
        <v>143</v>
      </c>
      <c r="AJ11" s="1" t="s">
        <v>143</v>
      </c>
      <c r="AK11" s="13"/>
      <c r="AL11" s="1" t="s">
        <v>5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S11" s="1">
        <f t="shared" si="2"/>
        <v>0</v>
      </c>
      <c r="BT11" s="1">
        <f t="shared" si="3"/>
        <v>1</v>
      </c>
      <c r="BU11" s="1">
        <v>-154.75</v>
      </c>
      <c r="BV11" s="1">
        <f t="shared" si="4"/>
        <v>-145.75</v>
      </c>
      <c r="CF11" s="1">
        <v>2</v>
      </c>
      <c r="CH11" s="1">
        <f t="shared" si="5"/>
        <v>-3</v>
      </c>
      <c r="CJ11" s="35">
        <v>1</v>
      </c>
      <c r="CK11" s="35">
        <f t="shared" si="0"/>
        <v>-146.75</v>
      </c>
      <c r="CM11" s="1">
        <v>1</v>
      </c>
      <c r="CN11" s="1">
        <v>3</v>
      </c>
      <c r="CQ11" s="1">
        <v>2</v>
      </c>
      <c r="CS11" s="1">
        <v>2</v>
      </c>
      <c r="CT11" s="1">
        <v>1</v>
      </c>
      <c r="CU11" s="1">
        <v>1</v>
      </c>
      <c r="CW11" s="1">
        <v>2</v>
      </c>
      <c r="CX11" s="1">
        <v>4</v>
      </c>
    </row>
    <row r="12" spans="1:103">
      <c r="A12" s="1">
        <v>23</v>
      </c>
      <c r="B12" s="1">
        <f t="shared" si="6"/>
        <v>25</v>
      </c>
      <c r="C12" s="1" t="s">
        <v>15</v>
      </c>
      <c r="D12" s="1" t="s">
        <v>152</v>
      </c>
      <c r="E12" s="10">
        <v>2</v>
      </c>
      <c r="J12" s="1">
        <v>3</v>
      </c>
      <c r="K12" s="1">
        <v>5</v>
      </c>
      <c r="L12" s="1">
        <v>1</v>
      </c>
      <c r="M12" s="1">
        <v>0.7</v>
      </c>
      <c r="N12" s="30">
        <v>0.9</v>
      </c>
      <c r="O12" s="31">
        <f t="shared" si="1"/>
        <v>-121</v>
      </c>
      <c r="P12" s="32"/>
      <c r="Q12" s="32"/>
      <c r="R12" s="32">
        <v>1</v>
      </c>
      <c r="S12" s="32">
        <v>1</v>
      </c>
      <c r="T12" s="32">
        <v>1</v>
      </c>
      <c r="U12" s="33"/>
      <c r="AC12" s="34"/>
      <c r="AE12" s="1" t="s">
        <v>38</v>
      </c>
      <c r="AF12" s="1" t="s">
        <v>143</v>
      </c>
      <c r="AG12" s="1" t="s">
        <v>143</v>
      </c>
      <c r="AH12" s="1" t="s">
        <v>5</v>
      </c>
      <c r="AI12" s="1" t="s">
        <v>44</v>
      </c>
      <c r="AJ12" s="1" t="s">
        <v>144</v>
      </c>
      <c r="AK12" s="13"/>
      <c r="AN12" s="8"/>
      <c r="AO12" s="8" t="s">
        <v>136</v>
      </c>
      <c r="AP12" s="8"/>
      <c r="AQ12" s="8"/>
      <c r="AR12" s="8"/>
      <c r="AS12" s="8"/>
      <c r="AT12" s="8"/>
      <c r="AU12" s="8"/>
      <c r="AV12" s="8" t="s">
        <v>136</v>
      </c>
      <c r="AW12" s="8"/>
      <c r="AX12" s="8"/>
      <c r="AY12" s="8"/>
      <c r="AZ12" s="8"/>
      <c r="BA12" s="8"/>
      <c r="BB12" s="8"/>
      <c r="BC12" s="8" t="s">
        <v>136</v>
      </c>
      <c r="BD12" s="8"/>
      <c r="BE12" s="8"/>
      <c r="BF12" s="8"/>
      <c r="BG12" s="8"/>
      <c r="BH12" s="8"/>
      <c r="BI12" s="8"/>
      <c r="BJ12" s="8" t="s">
        <v>136</v>
      </c>
      <c r="BK12" s="8"/>
      <c r="BL12" s="8"/>
      <c r="BM12" s="8"/>
      <c r="BN12" s="8" t="s">
        <v>135</v>
      </c>
      <c r="BO12" s="8" t="s">
        <v>134</v>
      </c>
      <c r="BP12" s="8"/>
      <c r="BS12" s="1">
        <f t="shared" si="2"/>
        <v>0</v>
      </c>
      <c r="BT12" s="1">
        <f t="shared" si="3"/>
        <v>5</v>
      </c>
      <c r="BU12" s="1">
        <v>-164</v>
      </c>
      <c r="BV12" s="1">
        <f t="shared" si="4"/>
        <v>-119</v>
      </c>
      <c r="CF12" s="1">
        <v>2</v>
      </c>
      <c r="CH12" s="1">
        <f t="shared" si="5"/>
        <v>-4</v>
      </c>
      <c r="CJ12" s="35">
        <v>1</v>
      </c>
      <c r="CK12" s="35">
        <f t="shared" si="0"/>
        <v>-121</v>
      </c>
      <c r="CM12" s="1">
        <v>1</v>
      </c>
      <c r="CN12" s="1">
        <v>3</v>
      </c>
      <c r="CQ12" s="1">
        <v>2</v>
      </c>
      <c r="CS12" s="1">
        <v>2</v>
      </c>
      <c r="CT12" s="1">
        <v>1</v>
      </c>
      <c r="CU12" s="1">
        <v>1</v>
      </c>
      <c r="CW12" s="1">
        <v>2</v>
      </c>
      <c r="CX12" s="1">
        <v>4</v>
      </c>
    </row>
    <row r="13" spans="1:103">
      <c r="A13" s="1">
        <v>23</v>
      </c>
      <c r="B13" s="1">
        <f t="shared" si="6"/>
        <v>25</v>
      </c>
      <c r="C13" s="1" t="s">
        <v>15</v>
      </c>
      <c r="D13" s="1" t="s">
        <v>153</v>
      </c>
      <c r="E13" s="10">
        <v>2</v>
      </c>
      <c r="J13" s="1">
        <v>2</v>
      </c>
      <c r="K13" s="1">
        <v>4</v>
      </c>
      <c r="L13" s="1">
        <v>1</v>
      </c>
      <c r="M13" s="1">
        <v>0.7</v>
      </c>
      <c r="N13" s="30">
        <v>0.9</v>
      </c>
      <c r="O13" s="31">
        <f t="shared" si="1"/>
        <v>-119.5</v>
      </c>
      <c r="P13" s="32"/>
      <c r="Q13" s="32"/>
      <c r="R13" s="32">
        <v>1</v>
      </c>
      <c r="S13" s="32">
        <v>1</v>
      </c>
      <c r="T13" s="32">
        <v>1</v>
      </c>
      <c r="U13" s="33"/>
      <c r="AC13" s="34"/>
      <c r="AE13" s="1" t="s">
        <v>133</v>
      </c>
      <c r="AF13" s="82" t="s">
        <v>38</v>
      </c>
      <c r="AG13" s="1" t="s">
        <v>144</v>
      </c>
      <c r="AH13" s="1" t="s">
        <v>143</v>
      </c>
      <c r="AI13" s="1" t="s">
        <v>5</v>
      </c>
      <c r="AJ13" s="1" t="s">
        <v>133</v>
      </c>
      <c r="AK13" s="13"/>
      <c r="AN13" s="8"/>
      <c r="AO13" s="8"/>
      <c r="AP13" s="8" t="s">
        <v>134</v>
      </c>
      <c r="AQ13" s="8"/>
      <c r="AR13" s="8" t="s">
        <v>132</v>
      </c>
      <c r="AS13" s="8" t="s">
        <v>43</v>
      </c>
      <c r="AT13" s="8" t="s">
        <v>38</v>
      </c>
      <c r="AU13" s="8" t="s">
        <v>132</v>
      </c>
      <c r="AV13" s="8" t="s">
        <v>132</v>
      </c>
      <c r="AW13" s="8" t="s">
        <v>132</v>
      </c>
      <c r="AX13" s="8" t="s">
        <v>132</v>
      </c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S13" s="1">
        <f t="shared" si="2"/>
        <v>0</v>
      </c>
      <c r="BT13" s="1">
        <f t="shared" si="3"/>
        <v>0</v>
      </c>
      <c r="BU13" s="1">
        <v>-117.5</v>
      </c>
      <c r="BV13" s="1">
        <f t="shared" si="4"/>
        <v>-117.5</v>
      </c>
      <c r="CF13" s="1">
        <v>2</v>
      </c>
      <c r="CH13" s="1">
        <f t="shared" si="5"/>
        <v>-4</v>
      </c>
      <c r="CJ13" s="35">
        <v>1</v>
      </c>
      <c r="CK13" s="35">
        <f t="shared" si="0"/>
        <v>-119.5</v>
      </c>
      <c r="CM13" s="1">
        <v>1</v>
      </c>
      <c r="CN13" s="1">
        <v>3</v>
      </c>
      <c r="CQ13" s="1">
        <v>2</v>
      </c>
      <c r="CR13" s="1">
        <v>3</v>
      </c>
      <c r="CS13" s="1">
        <v>2</v>
      </c>
      <c r="CU13" s="1">
        <v>1</v>
      </c>
      <c r="CW13" s="1">
        <v>2</v>
      </c>
      <c r="CX13" s="1">
        <v>4</v>
      </c>
    </row>
    <row r="14" spans="1:103">
      <c r="A14" s="1">
        <v>23</v>
      </c>
      <c r="B14" s="1">
        <f t="shared" si="6"/>
        <v>25</v>
      </c>
      <c r="C14" s="1" t="s">
        <v>15</v>
      </c>
      <c r="D14" s="1" t="s">
        <v>154</v>
      </c>
      <c r="E14" s="10">
        <v>2</v>
      </c>
      <c r="J14" s="1">
        <v>2</v>
      </c>
      <c r="K14" s="1">
        <v>5</v>
      </c>
      <c r="L14" s="1">
        <v>1</v>
      </c>
      <c r="M14" s="1">
        <v>0.6</v>
      </c>
      <c r="N14" s="30">
        <v>0.8</v>
      </c>
      <c r="O14" s="31">
        <f t="shared" si="1"/>
        <v>-156.5</v>
      </c>
      <c r="P14" s="32"/>
      <c r="Q14" s="32"/>
      <c r="R14" s="32">
        <v>1</v>
      </c>
      <c r="S14" s="32">
        <v>1</v>
      </c>
      <c r="T14" s="32">
        <v>1</v>
      </c>
      <c r="U14" s="33"/>
      <c r="AC14" s="34"/>
      <c r="AE14" s="1" t="s">
        <v>144</v>
      </c>
      <c r="AF14" s="1" t="s">
        <v>144</v>
      </c>
      <c r="AG14" s="82" t="s">
        <v>38</v>
      </c>
      <c r="AH14" s="1" t="s">
        <v>143</v>
      </c>
      <c r="AI14" s="1" t="s">
        <v>143</v>
      </c>
      <c r="AJ14" s="1" t="s">
        <v>143</v>
      </c>
      <c r="AK14" s="13"/>
      <c r="AN14" s="8"/>
      <c r="AO14" s="8"/>
      <c r="AP14" s="8"/>
      <c r="AQ14" s="8"/>
      <c r="AR14" s="8"/>
      <c r="AS14" s="8"/>
      <c r="AT14" s="8"/>
      <c r="AU14" s="8"/>
      <c r="AV14" s="8"/>
      <c r="AW14" s="8" t="s">
        <v>134</v>
      </c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S14" s="1">
        <f t="shared" si="2"/>
        <v>0</v>
      </c>
      <c r="BT14" s="1">
        <f t="shared" si="3"/>
        <v>0</v>
      </c>
      <c r="BU14" s="1">
        <v>-154.5</v>
      </c>
      <c r="BV14" s="1">
        <f t="shared" si="4"/>
        <v>-154.5</v>
      </c>
      <c r="CF14" s="1">
        <v>2</v>
      </c>
      <c r="CH14" s="1">
        <f t="shared" si="5"/>
        <v>-4</v>
      </c>
      <c r="CJ14" s="35">
        <v>1</v>
      </c>
      <c r="CK14" s="35">
        <f t="shared" si="0"/>
        <v>-156.5</v>
      </c>
      <c r="CM14" s="1">
        <v>1</v>
      </c>
      <c r="CN14" s="1">
        <v>3</v>
      </c>
      <c r="CQ14" s="1">
        <v>2</v>
      </c>
      <c r="CR14" s="1">
        <v>3</v>
      </c>
      <c r="CS14" s="1">
        <v>2</v>
      </c>
      <c r="CT14" s="1">
        <v>1</v>
      </c>
      <c r="CU14" s="1">
        <v>1</v>
      </c>
      <c r="CW14" s="1">
        <v>2</v>
      </c>
      <c r="CX14" s="1">
        <v>4</v>
      </c>
    </row>
    <row r="15" spans="1:103">
      <c r="A15" s="1">
        <v>25</v>
      </c>
      <c r="B15" s="1">
        <f t="shared" si="6"/>
        <v>26</v>
      </c>
      <c r="C15" s="1" t="s">
        <v>15</v>
      </c>
      <c r="D15" s="1" t="s">
        <v>155</v>
      </c>
      <c r="E15" s="10">
        <v>1</v>
      </c>
      <c r="J15" s="1">
        <v>2</v>
      </c>
      <c r="K15" s="1">
        <v>4</v>
      </c>
      <c r="L15" s="1">
        <v>1</v>
      </c>
      <c r="M15" s="1">
        <v>0.6</v>
      </c>
      <c r="N15" s="30">
        <v>0.8</v>
      </c>
      <c r="O15" s="31">
        <f t="shared" si="1"/>
        <v>-170</v>
      </c>
      <c r="P15" s="32"/>
      <c r="Q15" s="32"/>
      <c r="R15" s="32">
        <v>1</v>
      </c>
      <c r="S15" s="32">
        <v>1</v>
      </c>
      <c r="T15" s="32">
        <v>1</v>
      </c>
      <c r="U15" s="33"/>
      <c r="AC15" s="34"/>
      <c r="AE15" s="1" t="s">
        <v>38</v>
      </c>
      <c r="AF15" s="1" t="s">
        <v>132</v>
      </c>
      <c r="AG15" s="1" t="s">
        <v>132</v>
      </c>
      <c r="AH15" s="1" t="s">
        <v>44</v>
      </c>
      <c r="AI15" s="1" t="s">
        <v>132</v>
      </c>
      <c r="AJ15" s="1" t="s">
        <v>132</v>
      </c>
      <c r="AK15" s="13"/>
      <c r="AL15" s="1" t="s">
        <v>43</v>
      </c>
      <c r="AN15" s="8" t="s">
        <v>134</v>
      </c>
      <c r="AO15" s="8"/>
      <c r="AP15" s="8"/>
      <c r="AQ15" s="8"/>
      <c r="AR15" s="8"/>
      <c r="AS15" s="8"/>
      <c r="AT15" s="8" t="s">
        <v>137</v>
      </c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 t="s">
        <v>134</v>
      </c>
      <c r="BI15" s="8"/>
      <c r="BJ15" s="8"/>
      <c r="BK15" s="8"/>
      <c r="BL15" s="8" t="s">
        <v>134</v>
      </c>
      <c r="BM15" s="8"/>
      <c r="BN15" s="8"/>
      <c r="BO15" s="8" t="s">
        <v>136</v>
      </c>
      <c r="BP15" s="8"/>
      <c r="BS15" s="1">
        <f t="shared" si="2"/>
        <v>0</v>
      </c>
      <c r="BT15" s="1">
        <f t="shared" si="3"/>
        <v>2</v>
      </c>
      <c r="BU15" s="1">
        <v>-189</v>
      </c>
      <c r="BV15" s="1">
        <f t="shared" si="4"/>
        <v>-171</v>
      </c>
      <c r="CF15" s="1">
        <v>3</v>
      </c>
      <c r="CH15" s="1">
        <f t="shared" si="5"/>
        <v>-2</v>
      </c>
      <c r="CJ15" s="35">
        <v>1</v>
      </c>
      <c r="CK15" s="35">
        <f t="shared" si="0"/>
        <v>-170</v>
      </c>
      <c r="CM15" s="1">
        <v>1</v>
      </c>
      <c r="CN15" s="1">
        <v>3</v>
      </c>
      <c r="CQ15" s="1">
        <v>2</v>
      </c>
      <c r="CR15" s="1">
        <v>3</v>
      </c>
      <c r="CS15" s="1">
        <v>2</v>
      </c>
      <c r="CU15" s="1">
        <v>1</v>
      </c>
      <c r="CW15" s="1">
        <v>2</v>
      </c>
      <c r="CX15" s="1">
        <v>4</v>
      </c>
    </row>
    <row r="16" spans="1:103">
      <c r="A16" s="1">
        <v>24</v>
      </c>
      <c r="B16" s="1">
        <f t="shared" si="6"/>
        <v>25</v>
      </c>
      <c r="C16" s="1" t="s">
        <v>15</v>
      </c>
      <c r="D16" s="1" t="s">
        <v>156</v>
      </c>
      <c r="E16" s="10">
        <v>1</v>
      </c>
      <c r="J16" s="1">
        <v>2</v>
      </c>
      <c r="K16" s="1">
        <v>4</v>
      </c>
      <c r="L16" s="1">
        <v>1</v>
      </c>
      <c r="M16" s="1">
        <v>0.6</v>
      </c>
      <c r="N16" s="30">
        <v>0.8</v>
      </c>
      <c r="O16" s="31">
        <f t="shared" si="1"/>
        <v>-116</v>
      </c>
      <c r="P16" s="32"/>
      <c r="Q16" s="32"/>
      <c r="R16" s="32">
        <v>1</v>
      </c>
      <c r="S16" s="32">
        <v>1</v>
      </c>
      <c r="T16" s="32">
        <v>1</v>
      </c>
      <c r="U16" s="33"/>
      <c r="AC16" s="34"/>
      <c r="AE16" s="1" t="s">
        <v>133</v>
      </c>
      <c r="AF16" s="1" t="s">
        <v>144</v>
      </c>
      <c r="AG16" s="1" t="s">
        <v>144</v>
      </c>
      <c r="AH16" s="82" t="s">
        <v>38</v>
      </c>
      <c r="AI16" s="1" t="s">
        <v>133</v>
      </c>
      <c r="AJ16" s="1" t="s">
        <v>133</v>
      </c>
      <c r="AK16" s="13"/>
      <c r="AL16" s="1" t="s">
        <v>43</v>
      </c>
      <c r="AM16" s="1" t="s">
        <v>38</v>
      </c>
      <c r="AN16" s="8" t="s">
        <v>132</v>
      </c>
      <c r="AO16" s="8" t="s">
        <v>132</v>
      </c>
      <c r="AP16" s="8" t="s">
        <v>132</v>
      </c>
      <c r="AQ16" s="8" t="s">
        <v>132</v>
      </c>
      <c r="AR16" s="8" t="s">
        <v>132</v>
      </c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S16" s="1">
        <f t="shared" si="2"/>
        <v>0</v>
      </c>
      <c r="BT16" s="1">
        <f t="shared" si="3"/>
        <v>0</v>
      </c>
      <c r="BU16" s="1">
        <v>-116</v>
      </c>
      <c r="BV16" s="1">
        <f t="shared" si="4"/>
        <v>-116</v>
      </c>
      <c r="CF16" s="1">
        <v>2</v>
      </c>
      <c r="CH16" s="1">
        <f t="shared" si="5"/>
        <v>-2</v>
      </c>
      <c r="CJ16" s="35">
        <v>1</v>
      </c>
      <c r="CK16" s="35">
        <f t="shared" si="0"/>
        <v>-116</v>
      </c>
      <c r="CM16" s="1">
        <v>1</v>
      </c>
      <c r="CN16" s="1">
        <v>3</v>
      </c>
      <c r="CQ16" s="1">
        <v>2</v>
      </c>
      <c r="CR16" s="1">
        <v>3</v>
      </c>
      <c r="CS16" s="1">
        <v>2</v>
      </c>
      <c r="CU16" s="1">
        <v>1</v>
      </c>
      <c r="CW16" s="1">
        <v>2</v>
      </c>
      <c r="CX16" s="1">
        <v>4</v>
      </c>
    </row>
    <row r="17" spans="1:102">
      <c r="A17" s="1">
        <v>28</v>
      </c>
      <c r="B17" s="1">
        <f t="shared" si="6"/>
        <v>30</v>
      </c>
      <c r="C17" s="1" t="s">
        <v>15</v>
      </c>
      <c r="D17" s="1" t="s">
        <v>157</v>
      </c>
      <c r="E17" s="10">
        <v>2</v>
      </c>
      <c r="J17" s="1">
        <v>2</v>
      </c>
      <c r="K17" s="1">
        <v>4</v>
      </c>
      <c r="L17" s="1">
        <v>1</v>
      </c>
      <c r="M17" s="1">
        <v>0.7</v>
      </c>
      <c r="N17" s="30">
        <v>0.9</v>
      </c>
      <c r="O17" s="31">
        <f t="shared" si="1"/>
        <v>-146</v>
      </c>
      <c r="P17" s="32"/>
      <c r="Q17" s="32"/>
      <c r="R17" s="32">
        <v>1</v>
      </c>
      <c r="S17" s="32">
        <v>1</v>
      </c>
      <c r="T17" s="32">
        <v>1</v>
      </c>
      <c r="U17" s="33"/>
      <c r="AC17" s="34"/>
      <c r="AD17" s="33"/>
      <c r="AE17" s="1" t="s">
        <v>143</v>
      </c>
      <c r="AF17" s="82" t="s">
        <v>38</v>
      </c>
      <c r="AG17" s="1" t="s">
        <v>144</v>
      </c>
      <c r="AH17" s="1" t="s">
        <v>133</v>
      </c>
      <c r="AI17" s="1" t="s">
        <v>143</v>
      </c>
      <c r="AJ17" s="1" t="s">
        <v>5</v>
      </c>
      <c r="AK17" s="13"/>
      <c r="AN17" s="8"/>
      <c r="AO17" s="8"/>
      <c r="AP17" s="8"/>
      <c r="AQ17" s="8"/>
      <c r="AR17" s="8"/>
      <c r="AS17" s="8"/>
      <c r="AT17" s="8"/>
      <c r="AU17" s="8"/>
      <c r="AV17" s="8"/>
      <c r="AW17" s="8" t="s">
        <v>134</v>
      </c>
      <c r="AX17" s="8" t="s">
        <v>136</v>
      </c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S17" s="1">
        <f t="shared" si="2"/>
        <v>0</v>
      </c>
      <c r="BT17" s="1">
        <f t="shared" si="3"/>
        <v>1</v>
      </c>
      <c r="BU17" s="1">
        <v>-154</v>
      </c>
      <c r="BV17" s="1">
        <f t="shared" si="4"/>
        <v>-145</v>
      </c>
      <c r="CF17" s="1">
        <v>3</v>
      </c>
      <c r="CH17" s="1">
        <f t="shared" si="5"/>
        <v>-4</v>
      </c>
      <c r="CJ17" s="35">
        <v>1</v>
      </c>
      <c r="CK17" s="35">
        <f t="shared" si="0"/>
        <v>-146</v>
      </c>
      <c r="CM17" s="1">
        <v>1</v>
      </c>
      <c r="CN17" s="1">
        <v>3</v>
      </c>
      <c r="CP17" s="1">
        <v>3</v>
      </c>
      <c r="CQ17" s="1">
        <v>2</v>
      </c>
      <c r="CR17" s="1">
        <v>1</v>
      </c>
      <c r="CS17" s="1">
        <v>2</v>
      </c>
      <c r="CU17" s="1">
        <v>1</v>
      </c>
      <c r="CW17" s="1">
        <v>2</v>
      </c>
      <c r="CX17" s="1">
        <v>4</v>
      </c>
    </row>
    <row r="18" spans="1:102">
      <c r="A18" s="1">
        <v>25</v>
      </c>
      <c r="B18" s="1">
        <f t="shared" si="6"/>
        <v>29</v>
      </c>
      <c r="C18" s="1" t="s">
        <v>15</v>
      </c>
      <c r="D18" s="1" t="s">
        <v>158</v>
      </c>
      <c r="E18" s="10">
        <v>4</v>
      </c>
      <c r="J18" s="1">
        <v>2</v>
      </c>
      <c r="K18" s="1">
        <v>4</v>
      </c>
      <c r="L18" s="1">
        <v>1</v>
      </c>
      <c r="M18" s="1">
        <v>0.5</v>
      </c>
      <c r="N18" s="30">
        <v>0.9</v>
      </c>
      <c r="O18" s="31">
        <f t="shared" si="1"/>
        <v>-86</v>
      </c>
      <c r="P18" s="32"/>
      <c r="Q18" s="32"/>
      <c r="R18" s="32">
        <v>2</v>
      </c>
      <c r="S18" s="32">
        <v>1</v>
      </c>
      <c r="T18" s="32">
        <v>1</v>
      </c>
      <c r="U18" s="33"/>
      <c r="AC18" s="34"/>
      <c r="AE18" s="1" t="s">
        <v>38</v>
      </c>
      <c r="AF18" s="1" t="s">
        <v>132</v>
      </c>
      <c r="AG18" s="1" t="s">
        <v>132</v>
      </c>
      <c r="AH18" s="1" t="s">
        <v>44</v>
      </c>
      <c r="AI18" s="1" t="s">
        <v>132</v>
      </c>
      <c r="AJ18" s="1" t="s">
        <v>132</v>
      </c>
      <c r="AK18" s="13"/>
      <c r="AL18" s="1" t="s">
        <v>43</v>
      </c>
      <c r="AM18" s="1" t="s">
        <v>38</v>
      </c>
      <c r="AN18" s="8" t="s">
        <v>132</v>
      </c>
      <c r="AO18" s="8" t="s">
        <v>132</v>
      </c>
      <c r="AP18" s="8" t="s">
        <v>132</v>
      </c>
      <c r="AQ18" s="8" t="s">
        <v>132</v>
      </c>
      <c r="AR18" s="8" t="s">
        <v>132</v>
      </c>
      <c r="AS18" s="8" t="s">
        <v>43</v>
      </c>
      <c r="AT18" s="8" t="s">
        <v>137</v>
      </c>
      <c r="AU18" s="8"/>
      <c r="AV18" s="8"/>
      <c r="AW18" s="8"/>
      <c r="AX18" s="8"/>
      <c r="AY18" s="8" t="s">
        <v>136</v>
      </c>
      <c r="AZ18" s="8"/>
      <c r="BA18" s="8"/>
      <c r="BB18" s="8"/>
      <c r="BC18" s="8" t="s">
        <v>134</v>
      </c>
      <c r="BD18" s="8"/>
      <c r="BE18" s="8"/>
      <c r="BF18" s="8"/>
      <c r="BG18" s="8" t="s">
        <v>135</v>
      </c>
      <c r="BH18" s="8"/>
      <c r="BI18" s="8"/>
      <c r="BJ18" s="8"/>
      <c r="BK18" s="8"/>
      <c r="BL18" s="8"/>
      <c r="BM18" s="8"/>
      <c r="BN18" s="8" t="s">
        <v>137</v>
      </c>
      <c r="BO18" s="8"/>
      <c r="BP18" s="8"/>
      <c r="BS18" s="1">
        <f t="shared" si="2"/>
        <v>0</v>
      </c>
      <c r="BT18" s="1">
        <f t="shared" si="3"/>
        <v>4</v>
      </c>
      <c r="BU18" s="1">
        <v>-116</v>
      </c>
      <c r="BV18" s="1">
        <f t="shared" si="4"/>
        <v>-80</v>
      </c>
      <c r="CF18" s="1">
        <v>2</v>
      </c>
      <c r="CH18" s="1">
        <f t="shared" si="5"/>
        <v>-8</v>
      </c>
      <c r="CJ18" s="35">
        <v>1</v>
      </c>
      <c r="CK18" s="35">
        <f t="shared" si="0"/>
        <v>-86</v>
      </c>
      <c r="CM18" s="1">
        <v>1</v>
      </c>
      <c r="CN18" s="1">
        <v>2</v>
      </c>
      <c r="CP18" s="1">
        <v>3</v>
      </c>
      <c r="CQ18" s="1">
        <v>2</v>
      </c>
      <c r="CR18" s="1">
        <v>1</v>
      </c>
      <c r="CS18" s="1">
        <v>2</v>
      </c>
      <c r="CU18" s="1">
        <v>1</v>
      </c>
      <c r="CW18" s="1">
        <v>2</v>
      </c>
      <c r="CX18" s="1">
        <v>4</v>
      </c>
    </row>
    <row r="19" spans="1:102">
      <c r="A19" s="1">
        <v>29</v>
      </c>
      <c r="B19" s="1">
        <f t="shared" si="6"/>
        <v>31</v>
      </c>
      <c r="C19" s="1" t="s">
        <v>15</v>
      </c>
      <c r="D19" s="1" t="s">
        <v>159</v>
      </c>
      <c r="E19" s="10">
        <v>2</v>
      </c>
      <c r="J19" s="1">
        <v>2</v>
      </c>
      <c r="K19" s="1">
        <v>4</v>
      </c>
      <c r="L19" s="1">
        <v>1</v>
      </c>
      <c r="M19" s="1">
        <v>0.7</v>
      </c>
      <c r="N19" s="30">
        <v>0.9</v>
      </c>
      <c r="O19" s="31">
        <f t="shared" si="1"/>
        <v>-135</v>
      </c>
      <c r="P19" s="32"/>
      <c r="Q19" s="32"/>
      <c r="R19" s="32">
        <v>2</v>
      </c>
      <c r="S19" s="32">
        <v>1</v>
      </c>
      <c r="T19" s="32">
        <v>1</v>
      </c>
      <c r="U19" s="33"/>
      <c r="AC19" s="34"/>
      <c r="AE19" s="1" t="s">
        <v>143</v>
      </c>
      <c r="AF19" s="1" t="s">
        <v>143</v>
      </c>
      <c r="AG19" s="1" t="s">
        <v>5</v>
      </c>
      <c r="AH19" s="82" t="s">
        <v>38</v>
      </c>
      <c r="AI19" s="1" t="s">
        <v>144</v>
      </c>
      <c r="AJ19" s="1" t="s">
        <v>144</v>
      </c>
      <c r="AK19" s="13"/>
      <c r="AN19" s="8"/>
      <c r="AO19" s="8"/>
      <c r="AP19" s="8"/>
      <c r="AQ19" s="8"/>
      <c r="AR19" s="8"/>
      <c r="AS19" s="8" t="s">
        <v>134</v>
      </c>
      <c r="AT19" s="8"/>
      <c r="AU19" s="8" t="s">
        <v>134</v>
      </c>
      <c r="AV19" s="8"/>
      <c r="AW19" s="8"/>
      <c r="AX19" s="8" t="s">
        <v>137</v>
      </c>
      <c r="AY19" s="8" t="s">
        <v>134</v>
      </c>
      <c r="AZ19" s="8"/>
      <c r="BA19" s="8"/>
      <c r="BB19" s="8"/>
      <c r="BC19" s="8"/>
      <c r="BD19" s="8"/>
      <c r="BE19" s="8"/>
      <c r="BF19" s="8"/>
      <c r="BG19" s="8"/>
      <c r="BH19" s="8" t="s">
        <v>135</v>
      </c>
      <c r="BI19" s="8"/>
      <c r="BJ19" s="8"/>
      <c r="BK19" s="8"/>
      <c r="BL19" s="8"/>
      <c r="BM19" s="8"/>
      <c r="BN19" s="8"/>
      <c r="BO19" s="8"/>
      <c r="BP19" s="8"/>
      <c r="BS19" s="1">
        <f t="shared" si="2"/>
        <v>0</v>
      </c>
      <c r="BT19" s="1">
        <f t="shared" si="3"/>
        <v>2</v>
      </c>
      <c r="BU19" s="1">
        <v>-152</v>
      </c>
      <c r="BV19" s="1">
        <f t="shared" si="4"/>
        <v>-134</v>
      </c>
      <c r="CF19" s="1">
        <v>3</v>
      </c>
      <c r="CH19" s="1">
        <f t="shared" si="5"/>
        <v>-4</v>
      </c>
      <c r="CJ19" s="35">
        <v>1</v>
      </c>
      <c r="CK19" s="35">
        <f t="shared" si="0"/>
        <v>-135</v>
      </c>
      <c r="CM19" s="1">
        <v>1</v>
      </c>
      <c r="CN19" s="1">
        <v>2</v>
      </c>
      <c r="CP19" s="1">
        <v>3</v>
      </c>
      <c r="CQ19" s="1">
        <v>2</v>
      </c>
      <c r="CR19" s="1">
        <v>1</v>
      </c>
      <c r="CS19" s="1">
        <v>2</v>
      </c>
      <c r="CU19" s="1">
        <v>1</v>
      </c>
      <c r="CW19" s="1">
        <v>2</v>
      </c>
      <c r="CX19" s="1">
        <v>4</v>
      </c>
    </row>
    <row r="20" spans="1:102">
      <c r="A20" s="1">
        <v>28</v>
      </c>
      <c r="B20" s="1">
        <f t="shared" si="6"/>
        <v>31</v>
      </c>
      <c r="C20" s="1" t="s">
        <v>14</v>
      </c>
      <c r="D20" s="1" t="s">
        <v>160</v>
      </c>
      <c r="E20" s="10">
        <v>3</v>
      </c>
      <c r="J20" s="1">
        <v>2</v>
      </c>
      <c r="K20" s="1">
        <v>4</v>
      </c>
      <c r="L20" s="1">
        <v>1</v>
      </c>
      <c r="M20" s="1">
        <v>0.8</v>
      </c>
      <c r="N20" s="30">
        <v>1</v>
      </c>
      <c r="O20" s="31">
        <f t="shared" si="1"/>
        <v>-149</v>
      </c>
      <c r="P20" s="32"/>
      <c r="Q20" s="32"/>
      <c r="R20" s="32">
        <v>2</v>
      </c>
      <c r="S20" s="32">
        <v>1</v>
      </c>
      <c r="T20" s="32">
        <v>1</v>
      </c>
      <c r="U20" s="33"/>
      <c r="AC20" s="34"/>
      <c r="AE20" s="1" t="s">
        <v>143</v>
      </c>
      <c r="AF20" s="1" t="s">
        <v>5</v>
      </c>
      <c r="AG20" s="82" t="s">
        <v>38</v>
      </c>
      <c r="AH20" s="1" t="s">
        <v>144</v>
      </c>
      <c r="AI20" s="1" t="s">
        <v>144</v>
      </c>
      <c r="AJ20" s="1" t="s">
        <v>144</v>
      </c>
      <c r="AK20" s="13"/>
      <c r="AL20" s="1" t="s">
        <v>136</v>
      </c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 t="s">
        <v>136</v>
      </c>
      <c r="BP20" s="8"/>
      <c r="BS20" s="1">
        <f t="shared" si="2"/>
        <v>0</v>
      </c>
      <c r="BT20" s="1">
        <f t="shared" si="3"/>
        <v>2</v>
      </c>
      <c r="BU20" s="1">
        <v>-164</v>
      </c>
      <c r="BV20" s="1">
        <f t="shared" si="4"/>
        <v>-146</v>
      </c>
      <c r="CF20" s="1">
        <v>3</v>
      </c>
      <c r="CH20" s="1">
        <f t="shared" si="5"/>
        <v>-6</v>
      </c>
      <c r="CJ20" s="35">
        <v>1</v>
      </c>
      <c r="CK20" s="35">
        <f t="shared" si="0"/>
        <v>-149</v>
      </c>
      <c r="CM20" s="1">
        <v>1</v>
      </c>
      <c r="CN20" s="1">
        <v>2</v>
      </c>
      <c r="CP20" s="1">
        <v>3</v>
      </c>
      <c r="CQ20" s="1">
        <v>1</v>
      </c>
      <c r="CR20" s="1">
        <v>1</v>
      </c>
      <c r="CS20" s="1">
        <v>1</v>
      </c>
      <c r="CU20" s="1">
        <v>1</v>
      </c>
      <c r="CW20" s="1">
        <v>2</v>
      </c>
      <c r="CX20" s="1">
        <v>3</v>
      </c>
    </row>
    <row r="21" spans="1:102">
      <c r="A21" s="1">
        <v>31</v>
      </c>
      <c r="B21" s="1">
        <f t="shared" si="6"/>
        <v>34</v>
      </c>
      <c r="C21" s="1" t="s">
        <v>146</v>
      </c>
      <c r="D21" s="1" t="s">
        <v>161</v>
      </c>
      <c r="E21" s="10">
        <v>3</v>
      </c>
      <c r="J21" s="1">
        <v>2</v>
      </c>
      <c r="K21" s="1">
        <v>4</v>
      </c>
      <c r="L21" s="1">
        <v>1</v>
      </c>
      <c r="M21" s="1">
        <v>0.8</v>
      </c>
      <c r="N21" s="30">
        <v>1</v>
      </c>
      <c r="O21" s="31">
        <f t="shared" si="1"/>
        <v>-167.5</v>
      </c>
      <c r="P21" s="32"/>
      <c r="Q21" s="32"/>
      <c r="R21" s="32">
        <v>2</v>
      </c>
      <c r="S21" s="32">
        <v>1</v>
      </c>
      <c r="T21" s="32">
        <v>1</v>
      </c>
      <c r="U21" s="33"/>
      <c r="AC21" s="34"/>
      <c r="AE21" s="1" t="s">
        <v>133</v>
      </c>
      <c r="AF21" s="1" t="s">
        <v>143</v>
      </c>
      <c r="AG21" s="1" t="s">
        <v>133</v>
      </c>
      <c r="AH21" s="1" t="s">
        <v>143</v>
      </c>
      <c r="AI21" s="1" t="s">
        <v>143</v>
      </c>
      <c r="AJ21" s="1" t="s">
        <v>144</v>
      </c>
      <c r="AK21" s="13"/>
      <c r="AL21" s="1" t="s">
        <v>38</v>
      </c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S21" s="1">
        <f t="shared" si="2"/>
        <v>0</v>
      </c>
      <c r="BT21" s="1">
        <f t="shared" si="3"/>
        <v>0</v>
      </c>
      <c r="BU21" s="1">
        <v>-164.5</v>
      </c>
      <c r="BV21" s="1">
        <f t="shared" si="4"/>
        <v>-164.5</v>
      </c>
      <c r="CF21" s="1">
        <v>3</v>
      </c>
      <c r="CH21" s="1">
        <f t="shared" si="5"/>
        <v>-6</v>
      </c>
      <c r="CJ21" s="35">
        <v>1</v>
      </c>
      <c r="CK21" s="35">
        <f t="shared" si="0"/>
        <v>-167.5</v>
      </c>
      <c r="CN21" s="1">
        <v>1</v>
      </c>
      <c r="CP21" s="1">
        <v>2</v>
      </c>
      <c r="CQ21" s="1">
        <v>1</v>
      </c>
      <c r="CR21" s="1">
        <v>1</v>
      </c>
      <c r="CS21" s="1">
        <v>1</v>
      </c>
      <c r="CU21" s="1">
        <v>1</v>
      </c>
      <c r="CW21" s="1">
        <v>1</v>
      </c>
      <c r="CX21" s="1">
        <v>3</v>
      </c>
    </row>
    <row r="22" spans="1:102">
      <c r="A22" s="1">
        <v>21</v>
      </c>
      <c r="B22" s="1">
        <f t="shared" si="6"/>
        <v>24</v>
      </c>
      <c r="C22" s="1" t="s">
        <v>146</v>
      </c>
      <c r="D22" s="1" t="s">
        <v>162</v>
      </c>
      <c r="E22" s="10"/>
      <c r="F22" s="1">
        <v>3</v>
      </c>
      <c r="J22" s="1">
        <v>2</v>
      </c>
      <c r="K22" s="1">
        <v>4</v>
      </c>
      <c r="L22" s="1">
        <v>1</v>
      </c>
      <c r="M22" s="1">
        <v>0.8</v>
      </c>
      <c r="N22" s="30">
        <v>1</v>
      </c>
      <c r="O22" s="31">
        <f t="shared" si="1"/>
        <v>-161.5</v>
      </c>
      <c r="P22" s="32"/>
      <c r="Q22" s="32"/>
      <c r="R22" s="32">
        <v>2</v>
      </c>
      <c r="S22" s="32">
        <v>1</v>
      </c>
      <c r="T22" s="37">
        <v>1</v>
      </c>
      <c r="U22" s="33"/>
      <c r="AC22" s="34"/>
      <c r="AD22" s="33"/>
      <c r="AE22" s="1" t="s">
        <v>144</v>
      </c>
      <c r="AF22" s="1" t="s">
        <v>144</v>
      </c>
      <c r="AG22" s="1" t="s">
        <v>144</v>
      </c>
      <c r="AH22" s="82" t="s">
        <v>38</v>
      </c>
      <c r="AI22" s="1" t="s">
        <v>143</v>
      </c>
      <c r="AJ22" s="1" t="s">
        <v>143</v>
      </c>
      <c r="AK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S22" s="1">
        <f>COUNTIF(AL22:BP22, "*T*")-COUNTIF(AL22:BP22, "*½t*")+COUNTIF(AL22:BP22, "*½t*")/2+COUNTIF(AL22:BP22, "*½Z*")/2</f>
        <v>0</v>
      </c>
      <c r="BT22" s="1">
        <f t="shared" si="3"/>
        <v>0</v>
      </c>
      <c r="BU22" s="1">
        <v>-154.5</v>
      </c>
      <c r="BV22" s="1">
        <f t="shared" si="4"/>
        <v>-154.5</v>
      </c>
      <c r="CH22" s="1">
        <f t="shared" si="5"/>
        <v>-6</v>
      </c>
      <c r="CI22" s="1">
        <v>-1</v>
      </c>
      <c r="CJ22" s="35">
        <v>1</v>
      </c>
      <c r="CK22" s="35">
        <f t="shared" si="0"/>
        <v>-161.5</v>
      </c>
      <c r="CN22" s="1">
        <v>1</v>
      </c>
      <c r="CP22" s="1">
        <v>2</v>
      </c>
      <c r="CQ22" s="1">
        <v>1</v>
      </c>
      <c r="CR22" s="1">
        <v>1</v>
      </c>
      <c r="CS22" s="1">
        <v>1</v>
      </c>
      <c r="CU22" s="1">
        <v>1</v>
      </c>
      <c r="CW22" s="1">
        <v>1</v>
      </c>
      <c r="CX22" s="1">
        <v>3</v>
      </c>
    </row>
    <row r="23" spans="1:102">
      <c r="A23" s="1">
        <v>31</v>
      </c>
      <c r="B23" s="1">
        <f t="shared" si="6"/>
        <v>34</v>
      </c>
      <c r="C23" s="1" t="s">
        <v>146</v>
      </c>
      <c r="D23" s="1" t="s">
        <v>163</v>
      </c>
      <c r="E23" s="10">
        <v>3</v>
      </c>
      <c r="J23" s="1">
        <v>2</v>
      </c>
      <c r="K23" s="1">
        <v>4</v>
      </c>
      <c r="L23" s="1">
        <v>1</v>
      </c>
      <c r="M23" s="1">
        <v>0.8</v>
      </c>
      <c r="N23" s="30">
        <v>1</v>
      </c>
      <c r="O23" s="31">
        <f t="shared" si="1"/>
        <v>-158</v>
      </c>
      <c r="P23" s="32"/>
      <c r="Q23" s="32"/>
      <c r="R23" s="32">
        <v>2</v>
      </c>
      <c r="S23" s="32">
        <v>1</v>
      </c>
      <c r="T23" s="37">
        <v>1</v>
      </c>
      <c r="U23" s="33"/>
      <c r="AC23" s="34"/>
      <c r="AD23" s="33"/>
      <c r="AE23" s="1" t="s">
        <v>144</v>
      </c>
      <c r="AF23" s="1" t="s">
        <v>144</v>
      </c>
      <c r="AG23" s="82" t="s">
        <v>38</v>
      </c>
      <c r="AH23" s="1" t="s">
        <v>144</v>
      </c>
      <c r="AI23" s="1" t="s">
        <v>144</v>
      </c>
      <c r="AJ23" s="1" t="s">
        <v>143</v>
      </c>
      <c r="AK23" s="13"/>
      <c r="AL23" s="1" t="s">
        <v>134</v>
      </c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 t="s">
        <v>134</v>
      </c>
      <c r="BF23" s="8"/>
      <c r="BG23" s="8"/>
      <c r="BH23" s="8" t="s">
        <v>134</v>
      </c>
      <c r="BI23" s="8"/>
      <c r="BJ23" s="8"/>
      <c r="BK23" s="8"/>
      <c r="BL23" s="8"/>
      <c r="BM23" s="8"/>
      <c r="BN23" s="8" t="s">
        <v>133</v>
      </c>
      <c r="BO23" s="8" t="s">
        <v>38</v>
      </c>
      <c r="BP23" s="8"/>
      <c r="BS23" s="1">
        <f t="shared" si="2"/>
        <v>0</v>
      </c>
      <c r="BT23" s="1">
        <f t="shared" si="3"/>
        <v>0</v>
      </c>
      <c r="BU23" s="1">
        <v>-152</v>
      </c>
      <c r="BV23" s="1">
        <f t="shared" si="4"/>
        <v>-152</v>
      </c>
      <c r="CF23" s="1">
        <v>1</v>
      </c>
      <c r="CH23" s="1">
        <f t="shared" si="5"/>
        <v>-6</v>
      </c>
      <c r="CI23" s="1">
        <v>-1</v>
      </c>
      <c r="CJ23" s="35">
        <v>1</v>
      </c>
      <c r="CK23" s="35">
        <f t="shared" si="0"/>
        <v>-158</v>
      </c>
      <c r="CN23" s="1">
        <v>1</v>
      </c>
      <c r="CP23" s="1">
        <v>2</v>
      </c>
      <c r="CQ23" s="1">
        <v>1</v>
      </c>
      <c r="CR23" s="1">
        <v>1</v>
      </c>
      <c r="CS23" s="1">
        <v>1</v>
      </c>
      <c r="CU23" s="1">
        <v>1</v>
      </c>
      <c r="CW23" s="1">
        <v>1</v>
      </c>
      <c r="CX23" s="1">
        <v>3</v>
      </c>
    </row>
    <row r="24" spans="1:102">
      <c r="A24" s="1">
        <v>32</v>
      </c>
      <c r="B24" s="1">
        <f t="shared" si="6"/>
        <v>35</v>
      </c>
      <c r="C24" s="1" t="s">
        <v>0</v>
      </c>
      <c r="D24" s="1" t="s">
        <v>164</v>
      </c>
      <c r="E24" s="10"/>
      <c r="F24" s="1">
        <v>3</v>
      </c>
      <c r="J24" s="1">
        <v>2</v>
      </c>
      <c r="K24" s="1">
        <v>4</v>
      </c>
      <c r="N24" s="30">
        <v>1</v>
      </c>
      <c r="O24" s="31">
        <f t="shared" si="1"/>
        <v>-105</v>
      </c>
      <c r="P24" s="32">
        <v>2</v>
      </c>
      <c r="Q24" s="32">
        <v>4</v>
      </c>
      <c r="R24" s="32">
        <v>2</v>
      </c>
      <c r="S24" s="32">
        <v>1</v>
      </c>
      <c r="T24" s="32">
        <v>1</v>
      </c>
      <c r="U24" s="33"/>
      <c r="AC24" s="34"/>
      <c r="AE24" s="1" t="s">
        <v>143</v>
      </c>
      <c r="AF24" s="1" t="s">
        <v>144</v>
      </c>
      <c r="AG24" s="1" t="s">
        <v>144</v>
      </c>
      <c r="AH24" s="1" t="s">
        <v>143</v>
      </c>
      <c r="AI24" s="1" t="s">
        <v>5</v>
      </c>
      <c r="AJ24" s="1" t="s">
        <v>133</v>
      </c>
      <c r="AK24" s="13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 t="s">
        <v>132</v>
      </c>
      <c r="BC24" s="8" t="s">
        <v>132</v>
      </c>
      <c r="BD24" s="8" t="s">
        <v>132</v>
      </c>
      <c r="BE24" s="8" t="s">
        <v>133</v>
      </c>
      <c r="BF24" s="8" t="s">
        <v>38</v>
      </c>
      <c r="BG24" s="8" t="s">
        <v>139</v>
      </c>
      <c r="BH24" s="8" t="s">
        <v>138</v>
      </c>
      <c r="BI24" s="8" t="s">
        <v>132</v>
      </c>
      <c r="BJ24" s="8" t="s">
        <v>132</v>
      </c>
      <c r="BK24" s="8" t="s">
        <v>132</v>
      </c>
      <c r="BL24" s="8" t="s">
        <v>132</v>
      </c>
      <c r="BM24" s="8" t="s">
        <v>132</v>
      </c>
      <c r="BN24" s="8" t="s">
        <v>38</v>
      </c>
      <c r="BO24" s="8" t="s">
        <v>43</v>
      </c>
      <c r="BP24" s="8"/>
      <c r="BS24" s="1">
        <f t="shared" si="2"/>
        <v>1.5</v>
      </c>
      <c r="BT24" s="1">
        <f t="shared" si="3"/>
        <v>0</v>
      </c>
      <c r="BU24" s="1">
        <v>-111</v>
      </c>
      <c r="BV24" s="1">
        <f t="shared" si="4"/>
        <v>-99</v>
      </c>
      <c r="CG24" s="1">
        <v>1</v>
      </c>
      <c r="CH24" s="1">
        <f t="shared" si="5"/>
        <v>-6</v>
      </c>
      <c r="CI24" s="1">
        <v>-1</v>
      </c>
      <c r="CJ24" s="35">
        <v>1</v>
      </c>
      <c r="CK24" s="35">
        <f t="shared" si="0"/>
        <v>-105</v>
      </c>
      <c r="CN24" s="1">
        <v>1</v>
      </c>
      <c r="CP24" s="1">
        <v>1</v>
      </c>
      <c r="CQ24" s="1">
        <v>1</v>
      </c>
      <c r="CR24" s="1">
        <v>1</v>
      </c>
      <c r="CW24" s="1">
        <v>1</v>
      </c>
      <c r="CX24" s="1">
        <v>2</v>
      </c>
    </row>
    <row r="25" spans="1:102">
      <c r="A25" s="1">
        <v>32</v>
      </c>
      <c r="B25" s="1">
        <f t="shared" si="6"/>
        <v>35</v>
      </c>
      <c r="C25" s="1" t="s">
        <v>0</v>
      </c>
      <c r="D25" s="1" t="s">
        <v>165</v>
      </c>
      <c r="E25" s="10"/>
      <c r="F25" s="1">
        <v>3</v>
      </c>
      <c r="J25" s="1">
        <v>2</v>
      </c>
      <c r="K25" s="1">
        <v>4</v>
      </c>
      <c r="N25" s="30">
        <v>1</v>
      </c>
      <c r="O25" s="31">
        <f t="shared" si="1"/>
        <v>-141.5</v>
      </c>
      <c r="P25" s="32"/>
      <c r="Q25" s="32"/>
      <c r="R25" s="32">
        <v>2</v>
      </c>
      <c r="S25" s="32">
        <v>1</v>
      </c>
      <c r="T25" s="32">
        <v>1</v>
      </c>
      <c r="U25" s="33"/>
      <c r="AC25" s="34"/>
      <c r="AE25" s="1" t="s">
        <v>144</v>
      </c>
      <c r="AF25" s="1" t="s">
        <v>143</v>
      </c>
      <c r="AG25" s="1" t="s">
        <v>5</v>
      </c>
      <c r="AH25" s="82" t="s">
        <v>38</v>
      </c>
      <c r="AI25" s="1" t="s">
        <v>144</v>
      </c>
      <c r="AJ25" s="1" t="s">
        <v>144</v>
      </c>
      <c r="AK25" s="13"/>
      <c r="AL25" s="1" t="s">
        <v>136</v>
      </c>
      <c r="AN25" s="8"/>
      <c r="AO25" s="8"/>
      <c r="AP25" s="8"/>
      <c r="AQ25" s="8"/>
      <c r="AR25" s="8"/>
      <c r="AS25" s="8" t="s">
        <v>135</v>
      </c>
      <c r="AT25" s="8"/>
      <c r="AU25" s="8"/>
      <c r="AV25" s="8"/>
      <c r="AW25" s="8"/>
      <c r="AX25" s="8"/>
      <c r="AY25" s="8"/>
      <c r="AZ25" s="8" t="s">
        <v>136</v>
      </c>
      <c r="BA25" s="8"/>
      <c r="BB25" s="8"/>
      <c r="BC25" s="8"/>
      <c r="BD25" s="8"/>
      <c r="BE25" s="8"/>
      <c r="BF25" s="8"/>
      <c r="BG25" s="8" t="s">
        <v>134</v>
      </c>
      <c r="BH25" s="8"/>
      <c r="BI25" s="8"/>
      <c r="BJ25" s="8"/>
      <c r="BK25" s="8"/>
      <c r="BL25" s="8"/>
      <c r="BM25" s="8"/>
      <c r="BN25" s="8"/>
      <c r="BO25" s="8" t="s">
        <v>134</v>
      </c>
      <c r="BP25" s="8"/>
      <c r="BS25" s="1">
        <f t="shared" si="2"/>
        <v>0</v>
      </c>
      <c r="BT25" s="1">
        <f t="shared" si="3"/>
        <v>3</v>
      </c>
      <c r="BU25" s="1">
        <v>-162.5</v>
      </c>
      <c r="BV25" s="1">
        <f t="shared" si="4"/>
        <v>-135.5</v>
      </c>
      <c r="CG25" s="1">
        <v>1</v>
      </c>
      <c r="CH25" s="1">
        <f t="shared" si="5"/>
        <v>-6</v>
      </c>
      <c r="CI25" s="1">
        <v>-1</v>
      </c>
      <c r="CJ25" s="35">
        <v>1</v>
      </c>
      <c r="CK25" s="35">
        <f t="shared" si="0"/>
        <v>-141.5</v>
      </c>
      <c r="CN25" s="1">
        <v>1</v>
      </c>
      <c r="CP25" s="1">
        <v>1</v>
      </c>
      <c r="CR25" s="1">
        <v>1</v>
      </c>
      <c r="CW25" s="1">
        <v>1</v>
      </c>
      <c r="CX25" s="1">
        <v>2</v>
      </c>
    </row>
    <row r="26" spans="1:102">
      <c r="A26" s="1">
        <v>0</v>
      </c>
      <c r="B26" s="1">
        <f t="shared" si="6"/>
        <v>3</v>
      </c>
      <c r="C26" s="1" t="s">
        <v>0</v>
      </c>
      <c r="D26" s="1" t="s">
        <v>166</v>
      </c>
      <c r="E26" s="10"/>
      <c r="F26" s="1">
        <v>3</v>
      </c>
      <c r="J26" s="1">
        <v>2</v>
      </c>
      <c r="K26" s="1">
        <v>4</v>
      </c>
      <c r="N26" s="30">
        <v>1</v>
      </c>
      <c r="O26" s="31">
        <f t="shared" si="1"/>
        <v>-160.5</v>
      </c>
      <c r="P26" s="32"/>
      <c r="Q26" s="32"/>
      <c r="R26" s="32">
        <v>2</v>
      </c>
      <c r="S26" s="32">
        <v>1</v>
      </c>
      <c r="T26" s="32">
        <v>1</v>
      </c>
      <c r="U26" s="33"/>
      <c r="AC26" s="34"/>
      <c r="AE26" s="1" t="s">
        <v>38</v>
      </c>
      <c r="AF26" s="1" t="s">
        <v>132</v>
      </c>
      <c r="AG26" s="1" t="s">
        <v>132</v>
      </c>
      <c r="AH26" s="1" t="s">
        <v>44</v>
      </c>
      <c r="AI26" s="1" t="s">
        <v>132</v>
      </c>
      <c r="AJ26" s="1" t="s">
        <v>132</v>
      </c>
      <c r="AK26" s="13"/>
      <c r="AL26" s="1" t="s">
        <v>133</v>
      </c>
      <c r="AM26" s="1" t="s">
        <v>132</v>
      </c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 t="s">
        <v>132</v>
      </c>
      <c r="BN26" s="8" t="s">
        <v>133</v>
      </c>
      <c r="BO26" s="8" t="s">
        <v>137</v>
      </c>
      <c r="BP26" s="8"/>
      <c r="BS26" s="1">
        <f t="shared" si="2"/>
        <v>0</v>
      </c>
      <c r="BT26" s="1">
        <f t="shared" si="3"/>
        <v>1</v>
      </c>
      <c r="BU26" s="1">
        <v>-163.5</v>
      </c>
      <c r="BV26" s="1">
        <f t="shared" si="4"/>
        <v>-154.5</v>
      </c>
      <c r="CG26" s="1">
        <v>1</v>
      </c>
      <c r="CH26" s="1">
        <f t="shared" si="5"/>
        <v>-6</v>
      </c>
      <c r="CI26" s="1">
        <v>-1</v>
      </c>
      <c r="CJ26" s="35">
        <v>1</v>
      </c>
      <c r="CK26" s="35">
        <f t="shared" si="0"/>
        <v>-160.5</v>
      </c>
      <c r="CN26" s="1">
        <v>1</v>
      </c>
      <c r="CP26" s="1">
        <v>1</v>
      </c>
      <c r="CR26" s="1">
        <v>1</v>
      </c>
      <c r="CW26" s="1">
        <v>1</v>
      </c>
      <c r="CX26" s="1">
        <v>2</v>
      </c>
    </row>
    <row r="27" spans="1:102">
      <c r="A27" s="1">
        <v>15</v>
      </c>
      <c r="B27" s="1">
        <f t="shared" si="6"/>
        <v>17</v>
      </c>
      <c r="C27" s="1" t="s">
        <v>0</v>
      </c>
      <c r="D27" s="1" t="s">
        <v>167</v>
      </c>
      <c r="E27" s="10"/>
      <c r="G27" s="1">
        <v>2</v>
      </c>
      <c r="H27" s="38"/>
      <c r="J27" s="1">
        <v>3</v>
      </c>
      <c r="K27" s="1">
        <v>8</v>
      </c>
      <c r="N27" s="30">
        <v>1</v>
      </c>
      <c r="O27" s="31">
        <f t="shared" si="1"/>
        <v>-64</v>
      </c>
      <c r="P27" s="32"/>
      <c r="Q27" s="32"/>
      <c r="R27" s="32">
        <v>2</v>
      </c>
      <c r="S27" s="32">
        <v>1</v>
      </c>
      <c r="T27" s="32">
        <v>1</v>
      </c>
      <c r="U27" s="33"/>
      <c r="AC27" s="34"/>
      <c r="AE27" s="1" t="s">
        <v>133</v>
      </c>
      <c r="AF27" s="1" t="s">
        <v>133</v>
      </c>
      <c r="AG27" s="1" t="s">
        <v>133</v>
      </c>
      <c r="AH27" s="1" t="s">
        <v>133</v>
      </c>
      <c r="AI27" s="1" t="s">
        <v>133</v>
      </c>
      <c r="AJ27" s="1" t="s">
        <v>133</v>
      </c>
      <c r="AK27" s="13"/>
      <c r="AL27" s="1" t="s">
        <v>133</v>
      </c>
      <c r="AM27" s="1" t="s">
        <v>133</v>
      </c>
      <c r="AN27" s="8" t="s">
        <v>133</v>
      </c>
      <c r="AO27" s="8" t="s">
        <v>133</v>
      </c>
      <c r="AP27" s="8" t="s">
        <v>133</v>
      </c>
      <c r="AQ27" s="8" t="s">
        <v>133</v>
      </c>
      <c r="AR27" s="8" t="s">
        <v>133</v>
      </c>
      <c r="AS27" s="8" t="s">
        <v>133</v>
      </c>
      <c r="AT27" s="8" t="s">
        <v>133</v>
      </c>
      <c r="AU27" s="8" t="s">
        <v>133</v>
      </c>
      <c r="AV27" s="8" t="s">
        <v>133</v>
      </c>
      <c r="AW27" s="8" t="s">
        <v>133</v>
      </c>
      <c r="AX27" s="8" t="s">
        <v>133</v>
      </c>
      <c r="AY27" s="8" t="s">
        <v>133</v>
      </c>
      <c r="AZ27" s="8" t="s">
        <v>133</v>
      </c>
      <c r="BA27" s="8" t="s">
        <v>133</v>
      </c>
      <c r="BB27" s="8" t="s">
        <v>143</v>
      </c>
      <c r="BC27" s="8" t="s">
        <v>143</v>
      </c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S27" s="1">
        <f t="shared" si="2"/>
        <v>0</v>
      </c>
      <c r="BT27" s="1">
        <f t="shared" si="3"/>
        <v>2</v>
      </c>
      <c r="BU27" s="1">
        <v>-78</v>
      </c>
      <c r="BV27" s="1">
        <f t="shared" si="4"/>
        <v>-60</v>
      </c>
      <c r="CH27" s="1">
        <f t="shared" si="5"/>
        <v>-4</v>
      </c>
      <c r="CJ27" s="35">
        <v>1</v>
      </c>
      <c r="CK27" s="35">
        <f t="shared" si="0"/>
        <v>-64</v>
      </c>
      <c r="CX27" s="1">
        <v>1</v>
      </c>
    </row>
    <row r="28" spans="1:102">
      <c r="A28" s="1">
        <v>15</v>
      </c>
      <c r="B28" s="1">
        <f t="shared" si="6"/>
        <v>18</v>
      </c>
      <c r="C28" s="1" t="s">
        <v>0</v>
      </c>
      <c r="D28" s="1" t="s">
        <v>168</v>
      </c>
      <c r="E28" s="10"/>
      <c r="F28" s="1">
        <v>3</v>
      </c>
      <c r="H28" s="38"/>
      <c r="N28" s="30">
        <v>1</v>
      </c>
      <c r="O28" s="31">
        <f t="shared" si="1"/>
        <v>-159.5</v>
      </c>
      <c r="P28" s="32"/>
      <c r="Q28" s="32"/>
      <c r="R28" s="32">
        <v>2</v>
      </c>
      <c r="S28" s="32">
        <v>1</v>
      </c>
      <c r="T28" s="32">
        <v>1</v>
      </c>
      <c r="U28" s="33"/>
      <c r="AC28" s="34"/>
      <c r="AE28" s="82" t="s">
        <v>38</v>
      </c>
      <c r="AF28" s="1" t="s">
        <v>143</v>
      </c>
      <c r="AG28" s="1" t="s">
        <v>143</v>
      </c>
      <c r="AH28" s="1" t="s">
        <v>143</v>
      </c>
      <c r="AI28" s="1" t="s">
        <v>143</v>
      </c>
      <c r="AJ28" s="1" t="s">
        <v>143</v>
      </c>
      <c r="AK28" s="13"/>
      <c r="AL28" s="1" t="s">
        <v>5</v>
      </c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 t="s">
        <v>134</v>
      </c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S28" s="1">
        <f t="shared" si="2"/>
        <v>0</v>
      </c>
      <c r="BT28" s="1">
        <f t="shared" si="3"/>
        <v>1</v>
      </c>
      <c r="BU28" s="1">
        <v>-163.5</v>
      </c>
      <c r="BV28" s="1">
        <f t="shared" si="4"/>
        <v>-154.5</v>
      </c>
      <c r="CG28" s="1">
        <v>1</v>
      </c>
      <c r="CH28" s="1">
        <f t="shared" si="5"/>
        <v>-5</v>
      </c>
      <c r="CI28" s="1">
        <v>-1</v>
      </c>
      <c r="CJ28" s="35">
        <v>1</v>
      </c>
      <c r="CK28" s="35">
        <f t="shared" si="0"/>
        <v>-159.5</v>
      </c>
      <c r="CN28" s="1">
        <v>1</v>
      </c>
      <c r="CP28" s="1">
        <v>1</v>
      </c>
      <c r="CR28" s="1">
        <v>1</v>
      </c>
      <c r="CW28" s="1">
        <v>1</v>
      </c>
      <c r="CX28" s="1">
        <v>1</v>
      </c>
    </row>
    <row r="29" spans="1:102">
      <c r="A29" s="1">
        <v>15</v>
      </c>
      <c r="B29" s="1">
        <f t="shared" si="6"/>
        <v>18</v>
      </c>
      <c r="C29" s="1" t="s">
        <v>0</v>
      </c>
      <c r="D29" s="1" t="s">
        <v>169</v>
      </c>
      <c r="E29" s="10"/>
      <c r="F29" s="1">
        <v>3</v>
      </c>
      <c r="H29" s="38"/>
      <c r="N29" s="30">
        <v>1</v>
      </c>
      <c r="O29" s="31">
        <f t="shared" si="1"/>
        <v>-109.5</v>
      </c>
      <c r="P29" s="32"/>
      <c r="Q29" s="32"/>
      <c r="R29" s="32">
        <v>2</v>
      </c>
      <c r="S29" s="32">
        <v>1</v>
      </c>
      <c r="T29" s="32">
        <v>1</v>
      </c>
      <c r="U29" s="33"/>
      <c r="AC29" s="34"/>
      <c r="AE29" s="1" t="s">
        <v>144</v>
      </c>
      <c r="AF29" s="1" t="s">
        <v>144</v>
      </c>
      <c r="AG29" s="1" t="s">
        <v>143</v>
      </c>
      <c r="AH29" s="1" t="s">
        <v>5</v>
      </c>
      <c r="AI29" s="82" t="s">
        <v>38</v>
      </c>
      <c r="AJ29" s="1" t="s">
        <v>143</v>
      </c>
      <c r="AK29" s="13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 t="s">
        <v>134</v>
      </c>
      <c r="AZ29" s="8" t="s">
        <v>43</v>
      </c>
      <c r="BA29" s="8" t="s">
        <v>38</v>
      </c>
      <c r="BB29" s="8" t="s">
        <v>132</v>
      </c>
      <c r="BC29" s="8" t="s">
        <v>132</v>
      </c>
      <c r="BD29" s="8" t="s">
        <v>132</v>
      </c>
      <c r="BE29" s="8" t="s">
        <v>132</v>
      </c>
      <c r="BF29" s="8" t="s">
        <v>132</v>
      </c>
      <c r="BG29" s="8" t="s">
        <v>133</v>
      </c>
      <c r="BH29" s="8" t="s">
        <v>38</v>
      </c>
      <c r="BI29" s="8" t="s">
        <v>137</v>
      </c>
      <c r="BJ29" s="8"/>
      <c r="BK29" s="8"/>
      <c r="BL29" s="8"/>
      <c r="BM29" s="8"/>
      <c r="BN29" s="8"/>
      <c r="BO29" s="8"/>
      <c r="BP29" s="8"/>
      <c r="BS29" s="1">
        <f t="shared" si="2"/>
        <v>0</v>
      </c>
      <c r="BT29" s="1">
        <f t="shared" si="3"/>
        <v>1</v>
      </c>
      <c r="BU29" s="1">
        <v>-112.5</v>
      </c>
      <c r="BV29" s="1">
        <f t="shared" si="4"/>
        <v>-103.5</v>
      </c>
      <c r="CG29" s="1">
        <v>1</v>
      </c>
      <c r="CH29" s="1">
        <f t="shared" si="5"/>
        <v>-6</v>
      </c>
      <c r="CI29" s="1">
        <v>-1</v>
      </c>
      <c r="CJ29" s="35">
        <v>1</v>
      </c>
      <c r="CK29" s="35">
        <f t="shared" si="0"/>
        <v>-109.5</v>
      </c>
      <c r="CN29" s="1">
        <v>1</v>
      </c>
      <c r="CP29" s="1">
        <v>1</v>
      </c>
      <c r="CR29" s="1">
        <v>1</v>
      </c>
      <c r="CW29" s="1">
        <v>1</v>
      </c>
      <c r="CX29" s="1">
        <v>1</v>
      </c>
    </row>
    <row r="30" spans="1:102">
      <c r="A30" s="1">
        <v>11</v>
      </c>
      <c r="B30" s="1">
        <f t="shared" si="6"/>
        <v>14</v>
      </c>
      <c r="C30" s="1" t="s">
        <v>0</v>
      </c>
      <c r="D30" s="1" t="s">
        <v>170</v>
      </c>
      <c r="E30" s="10"/>
      <c r="F30" s="1">
        <v>3</v>
      </c>
      <c r="H30" s="38"/>
      <c r="N30" s="30">
        <v>1</v>
      </c>
      <c r="O30" s="31">
        <f t="shared" si="1"/>
        <v>-132</v>
      </c>
      <c r="P30" s="32"/>
      <c r="Q30" s="32"/>
      <c r="R30" s="32">
        <v>2</v>
      </c>
      <c r="S30" s="32">
        <v>1</v>
      </c>
      <c r="T30" s="32">
        <v>1</v>
      </c>
      <c r="U30" s="33"/>
      <c r="AC30" s="34"/>
      <c r="AE30" s="1" t="s">
        <v>143</v>
      </c>
      <c r="AF30" s="1" t="s">
        <v>5</v>
      </c>
      <c r="AG30" s="82" t="s">
        <v>38</v>
      </c>
      <c r="AH30" s="1" t="s">
        <v>144</v>
      </c>
      <c r="AI30" s="1" t="s">
        <v>144</v>
      </c>
      <c r="AJ30" s="1" t="s">
        <v>139</v>
      </c>
      <c r="AK30" s="13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 t="s">
        <v>132</v>
      </c>
      <c r="BM30" s="8" t="s">
        <v>132</v>
      </c>
      <c r="BN30" s="8" t="s">
        <v>38</v>
      </c>
      <c r="BO30" s="8" t="s">
        <v>43</v>
      </c>
      <c r="BP30" s="8"/>
      <c r="BS30" s="1">
        <f t="shared" si="2"/>
        <v>0</v>
      </c>
      <c r="BT30" s="1">
        <f t="shared" si="3"/>
        <v>0</v>
      </c>
      <c r="BU30" s="1">
        <v>-132</v>
      </c>
      <c r="BV30" s="1">
        <f t="shared" si="4"/>
        <v>-132</v>
      </c>
      <c r="CG30" s="1">
        <v>1</v>
      </c>
      <c r="CI30" s="1">
        <v>-1</v>
      </c>
      <c r="CJ30" s="35">
        <v>1</v>
      </c>
      <c r="CK30" s="35">
        <f t="shared" si="0"/>
        <v>-132</v>
      </c>
      <c r="CN30" s="1">
        <v>1</v>
      </c>
      <c r="CP30" s="1">
        <v>1</v>
      </c>
      <c r="CR30" s="1">
        <v>1</v>
      </c>
      <c r="CW30" s="1">
        <v>1</v>
      </c>
      <c r="CX30" s="1">
        <v>1</v>
      </c>
    </row>
    <row r="31" spans="1:102">
      <c r="A31" s="1">
        <v>8</v>
      </c>
      <c r="B31" s="1">
        <f t="shared" si="6"/>
        <v>11</v>
      </c>
      <c r="C31" s="1" t="s">
        <v>0</v>
      </c>
      <c r="D31" s="1" t="s">
        <v>171</v>
      </c>
      <c r="E31" s="39"/>
      <c r="F31" s="1">
        <v>3</v>
      </c>
      <c r="H31" s="38"/>
      <c r="N31" s="30">
        <v>1</v>
      </c>
      <c r="O31" s="31">
        <f t="shared" si="1"/>
        <v>-163</v>
      </c>
      <c r="P31" s="32"/>
      <c r="Q31" s="32"/>
      <c r="R31" s="32">
        <v>2</v>
      </c>
      <c r="S31" s="32">
        <v>1</v>
      </c>
      <c r="T31" s="32">
        <v>1</v>
      </c>
      <c r="U31" s="33"/>
      <c r="AC31" s="34"/>
      <c r="AE31" s="1" t="s">
        <v>38</v>
      </c>
      <c r="AF31" s="1" t="s">
        <v>143</v>
      </c>
      <c r="AG31" s="1" t="s">
        <v>144</v>
      </c>
      <c r="AH31" s="1" t="s">
        <v>144</v>
      </c>
      <c r="AI31" s="1" t="s">
        <v>143</v>
      </c>
      <c r="AJ31" s="1" t="s">
        <v>5</v>
      </c>
      <c r="AK31" s="13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 t="s">
        <v>134</v>
      </c>
      <c r="BA31" s="8"/>
      <c r="BB31" s="8"/>
      <c r="BC31" s="8"/>
      <c r="BD31" s="8" t="s">
        <v>135</v>
      </c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S31" s="1">
        <f t="shared" si="2"/>
        <v>0</v>
      </c>
      <c r="BT31" s="1">
        <f t="shared" si="3"/>
        <v>1</v>
      </c>
      <c r="BU31" s="1">
        <v>-166</v>
      </c>
      <c r="BV31" s="1">
        <f t="shared" si="4"/>
        <v>-157</v>
      </c>
      <c r="CG31" s="1">
        <v>1</v>
      </c>
      <c r="CH31" s="1">
        <f t="shared" si="5"/>
        <v>-6</v>
      </c>
      <c r="CI31" s="1">
        <v>-1</v>
      </c>
      <c r="CJ31" s="35">
        <v>1</v>
      </c>
      <c r="CK31" s="35">
        <f t="shared" si="0"/>
        <v>-163</v>
      </c>
      <c r="CN31" s="1">
        <v>1</v>
      </c>
      <c r="CP31" s="1">
        <v>1</v>
      </c>
      <c r="CR31" s="1">
        <v>1</v>
      </c>
      <c r="CW31" s="1">
        <v>2</v>
      </c>
      <c r="CX31" s="1">
        <v>1</v>
      </c>
    </row>
    <row r="32" spans="1:102" ht="20" customHeight="1">
      <c r="A32" s="1">
        <v>14</v>
      </c>
      <c r="B32" s="1">
        <f t="shared" si="6"/>
        <v>17</v>
      </c>
      <c r="C32" s="1" t="s">
        <v>1</v>
      </c>
      <c r="D32" s="1" t="s">
        <v>172</v>
      </c>
      <c r="E32" s="39"/>
      <c r="F32" s="1">
        <v>3</v>
      </c>
      <c r="H32" s="38"/>
      <c r="N32" s="30">
        <v>1</v>
      </c>
      <c r="O32" s="31">
        <f t="shared" si="1"/>
        <v>-146</v>
      </c>
      <c r="P32" s="32"/>
      <c r="Q32" s="32"/>
      <c r="R32" s="32">
        <v>2</v>
      </c>
      <c r="S32" s="32">
        <v>1</v>
      </c>
      <c r="T32" s="32">
        <v>1</v>
      </c>
      <c r="U32" s="33"/>
      <c r="AC32" s="34"/>
      <c r="AE32" s="1" t="s">
        <v>38</v>
      </c>
      <c r="AF32" s="1" t="s">
        <v>132</v>
      </c>
      <c r="AG32" s="1" t="s">
        <v>132</v>
      </c>
      <c r="AH32" s="1" t="s">
        <v>132</v>
      </c>
      <c r="AI32" s="1" t="s">
        <v>132</v>
      </c>
      <c r="AJ32" s="1" t="s">
        <v>132</v>
      </c>
      <c r="AK32" s="13"/>
      <c r="AL32" s="1" t="s">
        <v>43</v>
      </c>
      <c r="AM32" s="1" t="s">
        <v>38</v>
      </c>
      <c r="AN32" s="8" t="s">
        <v>137</v>
      </c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 t="s">
        <v>136</v>
      </c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 t="s">
        <v>134</v>
      </c>
      <c r="BN32" s="8" t="s">
        <v>134</v>
      </c>
      <c r="BO32" s="8" t="s">
        <v>134</v>
      </c>
      <c r="BP32" s="8"/>
      <c r="BS32" s="1">
        <f t="shared" si="2"/>
        <v>0</v>
      </c>
      <c r="BT32" s="1">
        <f t="shared" si="3"/>
        <v>2</v>
      </c>
      <c r="BU32" s="1">
        <v>-158</v>
      </c>
      <c r="BV32" s="1">
        <f t="shared" si="4"/>
        <v>-140</v>
      </c>
      <c r="CG32" s="1">
        <v>1</v>
      </c>
      <c r="CH32" s="1">
        <f t="shared" si="5"/>
        <v>-6</v>
      </c>
      <c r="CI32" s="1">
        <v>-1</v>
      </c>
      <c r="CJ32" s="35">
        <v>1</v>
      </c>
      <c r="CK32" s="35">
        <f t="shared" si="0"/>
        <v>-146</v>
      </c>
      <c r="CN32" s="1">
        <v>1</v>
      </c>
      <c r="CP32" s="1">
        <v>1</v>
      </c>
      <c r="CR32" s="1">
        <v>1</v>
      </c>
      <c r="CW32" s="1">
        <v>2</v>
      </c>
      <c r="CX32" s="1">
        <v>1</v>
      </c>
    </row>
    <row r="33" spans="1:102" ht="19" customHeight="1">
      <c r="A33" s="1">
        <v>14</v>
      </c>
      <c r="B33" s="1">
        <f t="shared" si="6"/>
        <v>17</v>
      </c>
      <c r="C33" s="1" t="s">
        <v>1</v>
      </c>
      <c r="D33" s="1" t="s">
        <v>173</v>
      </c>
      <c r="E33" s="39"/>
      <c r="F33" s="1">
        <v>3</v>
      </c>
      <c r="H33" s="38"/>
      <c r="N33" s="30">
        <v>1</v>
      </c>
      <c r="O33" s="31">
        <f t="shared" si="1"/>
        <v>-132.5</v>
      </c>
      <c r="P33" s="32"/>
      <c r="Q33" s="32"/>
      <c r="R33" s="32">
        <v>2</v>
      </c>
      <c r="S33" s="32">
        <v>1</v>
      </c>
      <c r="T33" s="32">
        <v>1</v>
      </c>
      <c r="U33" s="33"/>
      <c r="AC33" s="34"/>
      <c r="AE33" s="1" t="s">
        <v>5</v>
      </c>
      <c r="AF33" s="1" t="s">
        <v>38</v>
      </c>
      <c r="AG33" s="1" t="s">
        <v>143</v>
      </c>
      <c r="AH33" s="1" t="s">
        <v>143</v>
      </c>
      <c r="AI33" s="1" t="s">
        <v>143</v>
      </c>
      <c r="AJ33" s="1" t="s">
        <v>144</v>
      </c>
      <c r="AK33" s="13"/>
      <c r="AN33" s="8"/>
      <c r="AO33" s="8"/>
      <c r="AP33" s="8"/>
      <c r="AQ33" s="8"/>
      <c r="AR33" s="8"/>
      <c r="AS33" s="8"/>
      <c r="AT33" s="8"/>
      <c r="AU33" s="8"/>
      <c r="AV33" s="8"/>
      <c r="AW33" s="8" t="s">
        <v>136</v>
      </c>
      <c r="AX33" s="8" t="s">
        <v>136</v>
      </c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 t="s">
        <v>135</v>
      </c>
      <c r="BN33" s="8" t="s">
        <v>140</v>
      </c>
      <c r="BO33" s="8" t="s">
        <v>142</v>
      </c>
      <c r="BP33" s="8"/>
      <c r="BS33" s="1">
        <f t="shared" si="2"/>
        <v>0</v>
      </c>
      <c r="BT33" s="1">
        <f t="shared" si="3"/>
        <v>3</v>
      </c>
      <c r="BU33" s="1">
        <v>-153.5</v>
      </c>
      <c r="BV33" s="1">
        <f t="shared" si="4"/>
        <v>-126.5</v>
      </c>
      <c r="CG33" s="1">
        <v>1</v>
      </c>
      <c r="CH33" s="1">
        <f t="shared" si="5"/>
        <v>-6</v>
      </c>
      <c r="CI33" s="1">
        <v>-1</v>
      </c>
      <c r="CJ33" s="35">
        <v>1</v>
      </c>
      <c r="CK33" s="35">
        <f t="shared" si="0"/>
        <v>-132.5</v>
      </c>
      <c r="CN33" s="1">
        <v>1</v>
      </c>
      <c r="CP33" s="1">
        <v>1</v>
      </c>
      <c r="CR33" s="1">
        <v>1</v>
      </c>
      <c r="CW33" s="1">
        <v>2</v>
      </c>
      <c r="CX33" s="1">
        <v>1</v>
      </c>
    </row>
    <row r="34" spans="1:102" ht="20" customHeight="1">
      <c r="A34" s="1">
        <v>3</v>
      </c>
      <c r="B34" s="1">
        <f t="shared" si="6"/>
        <v>6</v>
      </c>
      <c r="C34" s="1" t="s">
        <v>1</v>
      </c>
      <c r="D34" s="1" t="s">
        <v>174</v>
      </c>
      <c r="E34" s="39"/>
      <c r="G34" s="1">
        <v>3</v>
      </c>
      <c r="H34" s="38"/>
      <c r="N34" s="30">
        <v>1</v>
      </c>
      <c r="O34" s="31">
        <f t="shared" si="1"/>
        <v>-95</v>
      </c>
      <c r="P34" s="32"/>
      <c r="Q34" s="32"/>
      <c r="R34" s="32">
        <v>2</v>
      </c>
      <c r="S34" s="32">
        <v>1</v>
      </c>
      <c r="T34" s="32">
        <v>1</v>
      </c>
      <c r="U34" s="33"/>
      <c r="AC34" s="34"/>
      <c r="AE34" s="1" t="s">
        <v>143</v>
      </c>
      <c r="AF34" s="1" t="s">
        <v>143</v>
      </c>
      <c r="AG34" s="1" t="s">
        <v>5</v>
      </c>
      <c r="AH34" s="1" t="s">
        <v>133</v>
      </c>
      <c r="AI34" s="1" t="s">
        <v>144</v>
      </c>
      <c r="AJ34" s="1" t="s">
        <v>133</v>
      </c>
      <c r="AK34" s="13"/>
      <c r="AL34" s="1" t="s">
        <v>43</v>
      </c>
      <c r="AM34" s="1" t="s">
        <v>38</v>
      </c>
      <c r="AN34" s="8" t="s">
        <v>132</v>
      </c>
      <c r="AO34" s="8" t="s">
        <v>132</v>
      </c>
      <c r="AP34" s="8" t="s">
        <v>132</v>
      </c>
      <c r="AQ34" s="8" t="s">
        <v>132</v>
      </c>
      <c r="AR34" s="8" t="s">
        <v>133</v>
      </c>
      <c r="AS34" s="8" t="s">
        <v>134</v>
      </c>
      <c r="AT34" s="8"/>
      <c r="AU34" s="8"/>
      <c r="AV34" s="8" t="s">
        <v>5</v>
      </c>
      <c r="AW34" s="8"/>
      <c r="AX34" s="8"/>
      <c r="AY34" s="8" t="s">
        <v>132</v>
      </c>
      <c r="AZ34" s="8" t="s">
        <v>38</v>
      </c>
      <c r="BA34" s="8"/>
      <c r="BB34" s="8"/>
      <c r="BC34" s="8" t="s">
        <v>5</v>
      </c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S34" s="1">
        <f t="shared" si="2"/>
        <v>0</v>
      </c>
      <c r="BT34" s="1">
        <f t="shared" si="3"/>
        <v>2</v>
      </c>
      <c r="BU34" s="1">
        <v>-108</v>
      </c>
      <c r="BV34" s="1">
        <f t="shared" si="4"/>
        <v>-90</v>
      </c>
      <c r="CG34" s="1">
        <v>1</v>
      </c>
      <c r="CH34" s="1">
        <f t="shared" si="5"/>
        <v>-6</v>
      </c>
      <c r="CJ34" s="35">
        <v>1</v>
      </c>
      <c r="CK34" s="35">
        <f t="shared" si="0"/>
        <v>-95</v>
      </c>
      <c r="CX34" s="1">
        <v>1</v>
      </c>
    </row>
    <row r="35" spans="1:102" ht="19" thickBot="1">
      <c r="E35" s="10">
        <f>SUM(E6:E34)</f>
        <v>30</v>
      </c>
      <c r="F35" s="1">
        <f>SUM(F6:F34)</f>
        <v>30</v>
      </c>
      <c r="G35" s="1">
        <f>SUM(G6:G34)</f>
        <v>5</v>
      </c>
      <c r="H35" s="1">
        <f>SUM(H6:H31)</f>
        <v>0</v>
      </c>
      <c r="J35" s="1">
        <f>SUM(J9:J34)</f>
        <v>43</v>
      </c>
      <c r="K35" s="1">
        <f>SUM(K9:K34)</f>
        <v>86</v>
      </c>
      <c r="U35" s="33">
        <f>SUM(U9:U34)</f>
        <v>0</v>
      </c>
      <c r="V35" s="1">
        <f>SUM(V9:V34)</f>
        <v>0</v>
      </c>
      <c r="W35" s="1">
        <f>SUM(W9:W34)</f>
        <v>0</v>
      </c>
      <c r="AC35" s="34"/>
      <c r="AK35" s="13"/>
      <c r="AL35" s="13"/>
      <c r="AM35" s="13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73"/>
      <c r="BM35" s="29"/>
      <c r="BN35" s="29"/>
      <c r="BO35" s="29"/>
      <c r="BP35" s="29"/>
      <c r="CF35" s="1">
        <f>SUM(CF6:CF34)</f>
        <v>30</v>
      </c>
      <c r="CG35" s="1">
        <f>SUM(CG6:CG34)</f>
        <v>10</v>
      </c>
    </row>
    <row r="36" spans="1:102" s="40" customFormat="1">
      <c r="D36" s="40" t="s">
        <v>28</v>
      </c>
      <c r="AD36" s="1"/>
      <c r="AE36" s="1"/>
      <c r="AF36" s="1"/>
      <c r="AG36" s="1"/>
      <c r="AH36" s="1"/>
      <c r="AI36" s="1"/>
      <c r="AJ36" s="1"/>
      <c r="AK36" s="71" t="s">
        <v>11</v>
      </c>
      <c r="AL36" s="41"/>
      <c r="AM36" s="41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3"/>
    </row>
    <row r="37" spans="1:102">
      <c r="D37" s="1">
        <v>24</v>
      </c>
      <c r="AK37" s="10" t="s">
        <v>17</v>
      </c>
      <c r="AL37" s="1">
        <v>7</v>
      </c>
      <c r="AM37" s="1">
        <v>7</v>
      </c>
      <c r="AN37" s="8">
        <v>8</v>
      </c>
      <c r="AO37" s="8">
        <v>8</v>
      </c>
      <c r="AP37" s="8">
        <v>8</v>
      </c>
      <c r="AQ37" s="8">
        <v>8</v>
      </c>
      <c r="AR37" s="8">
        <v>8</v>
      </c>
      <c r="AS37" s="8">
        <v>7</v>
      </c>
      <c r="AT37" s="8">
        <v>7</v>
      </c>
      <c r="AU37" s="8">
        <v>8</v>
      </c>
      <c r="AV37" s="8">
        <v>8</v>
      </c>
      <c r="AW37" s="8">
        <v>8</v>
      </c>
      <c r="AX37" s="8">
        <v>8</v>
      </c>
      <c r="AY37" s="8">
        <v>8</v>
      </c>
      <c r="AZ37" s="8">
        <v>7</v>
      </c>
      <c r="BA37" s="8">
        <v>7</v>
      </c>
      <c r="BB37" s="8">
        <v>9</v>
      </c>
      <c r="BC37" s="8">
        <v>9</v>
      </c>
      <c r="BD37" s="8">
        <v>8</v>
      </c>
      <c r="BE37" s="8">
        <v>8</v>
      </c>
      <c r="BF37" s="8">
        <v>8</v>
      </c>
      <c r="BG37" s="8">
        <v>7</v>
      </c>
      <c r="BH37" s="8">
        <v>7</v>
      </c>
      <c r="BI37" s="8">
        <v>8</v>
      </c>
      <c r="BJ37" s="8">
        <v>8</v>
      </c>
      <c r="BK37" s="8">
        <v>8</v>
      </c>
      <c r="BL37" s="8">
        <v>8</v>
      </c>
      <c r="BM37" s="8">
        <v>8</v>
      </c>
      <c r="BN37" s="8">
        <v>7</v>
      </c>
      <c r="BO37" s="8">
        <v>7</v>
      </c>
      <c r="BP37" s="44"/>
      <c r="BU37" s="1" t="s">
        <v>72</v>
      </c>
    </row>
    <row r="38" spans="1:102">
      <c r="AK38" s="10" t="s">
        <v>18</v>
      </c>
      <c r="AL38" s="1">
        <v>5</v>
      </c>
      <c r="AM38" s="1">
        <v>5</v>
      </c>
      <c r="AN38" s="8">
        <v>6</v>
      </c>
      <c r="AO38" s="8">
        <v>6</v>
      </c>
      <c r="AP38" s="8">
        <v>6</v>
      </c>
      <c r="AQ38" s="8">
        <v>6</v>
      </c>
      <c r="AR38" s="8">
        <v>6</v>
      </c>
      <c r="AS38" s="8">
        <v>5</v>
      </c>
      <c r="AT38" s="8">
        <v>5</v>
      </c>
      <c r="AU38" s="8">
        <v>6</v>
      </c>
      <c r="AV38" s="8">
        <v>6</v>
      </c>
      <c r="AW38" s="8">
        <v>6</v>
      </c>
      <c r="AX38" s="8">
        <v>6</v>
      </c>
      <c r="AY38" s="8">
        <v>6</v>
      </c>
      <c r="AZ38" s="8">
        <v>5</v>
      </c>
      <c r="BA38" s="8">
        <v>5</v>
      </c>
      <c r="BB38" s="8">
        <v>6</v>
      </c>
      <c r="BC38" s="8">
        <v>6</v>
      </c>
      <c r="BD38" s="8">
        <v>6</v>
      </c>
      <c r="BE38" s="8">
        <v>6</v>
      </c>
      <c r="BF38" s="8">
        <v>6</v>
      </c>
      <c r="BG38" s="8">
        <v>5</v>
      </c>
      <c r="BH38" s="8">
        <v>5</v>
      </c>
      <c r="BI38" s="8">
        <v>6</v>
      </c>
      <c r="BJ38" s="8">
        <v>6</v>
      </c>
      <c r="BK38" s="8">
        <v>6</v>
      </c>
      <c r="BL38" s="8">
        <v>6</v>
      </c>
      <c r="BM38" s="8">
        <v>6</v>
      </c>
      <c r="BN38" s="8">
        <v>5</v>
      </c>
      <c r="BO38" s="8">
        <v>5</v>
      </c>
      <c r="BP38" s="44"/>
      <c r="BU38" s="1">
        <f>SUM(AL38:BP38)/SUM(AL37:BP37)</f>
        <v>0.73275862068965514</v>
      </c>
    </row>
    <row r="39" spans="1:102" ht="19" thickBot="1">
      <c r="AK39" s="9" t="s">
        <v>19</v>
      </c>
      <c r="AL39" s="17">
        <v>2</v>
      </c>
      <c r="AM39" s="17">
        <v>2</v>
      </c>
      <c r="AN39" s="45">
        <v>2</v>
      </c>
      <c r="AO39" s="45">
        <v>2</v>
      </c>
      <c r="AP39" s="45">
        <v>2</v>
      </c>
      <c r="AQ39" s="45">
        <v>2</v>
      </c>
      <c r="AR39" s="45">
        <v>2</v>
      </c>
      <c r="AS39" s="45">
        <v>2</v>
      </c>
      <c r="AT39" s="45">
        <v>2</v>
      </c>
      <c r="AU39" s="45">
        <v>2</v>
      </c>
      <c r="AV39" s="45">
        <v>3</v>
      </c>
      <c r="AW39" s="45">
        <v>2</v>
      </c>
      <c r="AX39" s="45">
        <v>2</v>
      </c>
      <c r="AY39" s="45">
        <v>2</v>
      </c>
      <c r="AZ39" s="45">
        <v>2</v>
      </c>
      <c r="BA39" s="45">
        <v>2</v>
      </c>
      <c r="BB39" s="45">
        <v>2</v>
      </c>
      <c r="BC39" s="45">
        <v>3</v>
      </c>
      <c r="BD39" s="45">
        <v>2</v>
      </c>
      <c r="BE39" s="45">
        <v>2</v>
      </c>
      <c r="BF39" s="45">
        <v>3</v>
      </c>
      <c r="BG39" s="45">
        <v>2</v>
      </c>
      <c r="BH39" s="45">
        <v>2</v>
      </c>
      <c r="BI39" s="45">
        <v>2</v>
      </c>
      <c r="BJ39" s="45">
        <v>3</v>
      </c>
      <c r="BK39" s="45">
        <v>2</v>
      </c>
      <c r="BL39" s="45">
        <v>2</v>
      </c>
      <c r="BM39" s="45">
        <v>3</v>
      </c>
      <c r="BN39" s="45">
        <v>2</v>
      </c>
      <c r="BO39" s="45">
        <v>2</v>
      </c>
      <c r="BP39" s="46"/>
      <c r="BQ39" s="10"/>
    </row>
    <row r="40" spans="1:102">
      <c r="AK40" s="47" t="s">
        <v>112</v>
      </c>
      <c r="AL40" s="48">
        <v>3</v>
      </c>
      <c r="AM40" s="48">
        <v>3</v>
      </c>
      <c r="AN40" s="49">
        <v>4</v>
      </c>
      <c r="AO40" s="49">
        <v>4</v>
      </c>
      <c r="AP40" s="49">
        <v>4</v>
      </c>
      <c r="AQ40" s="49">
        <v>4</v>
      </c>
      <c r="AR40" s="49">
        <v>4</v>
      </c>
      <c r="AS40" s="49">
        <v>3</v>
      </c>
      <c r="AT40" s="49">
        <v>3</v>
      </c>
      <c r="AU40" s="49">
        <v>4</v>
      </c>
      <c r="AV40" s="49">
        <v>4</v>
      </c>
      <c r="AW40" s="49">
        <v>4</v>
      </c>
      <c r="AX40" s="49">
        <v>4</v>
      </c>
      <c r="AY40" s="75">
        <v>4</v>
      </c>
      <c r="AZ40" s="49">
        <v>3</v>
      </c>
      <c r="BA40" s="49">
        <v>3</v>
      </c>
      <c r="BB40" s="49">
        <v>4</v>
      </c>
      <c r="BC40" s="49">
        <v>4</v>
      </c>
      <c r="BD40" s="49">
        <v>4</v>
      </c>
      <c r="BE40" s="49">
        <v>4</v>
      </c>
      <c r="BF40" s="49">
        <v>4</v>
      </c>
      <c r="BG40" s="49">
        <v>3</v>
      </c>
      <c r="BH40" s="49">
        <v>3</v>
      </c>
      <c r="BI40" s="49">
        <v>4</v>
      </c>
      <c r="BJ40" s="49">
        <v>4</v>
      </c>
      <c r="BK40" s="49">
        <v>4</v>
      </c>
      <c r="BL40" s="49">
        <v>4</v>
      </c>
      <c r="BM40" s="49">
        <v>4</v>
      </c>
      <c r="BN40" s="49">
        <v>3</v>
      </c>
      <c r="BO40" s="49">
        <v>3</v>
      </c>
      <c r="BP40" s="50"/>
      <c r="BQ40" s="52"/>
    </row>
    <row r="41" spans="1:102">
      <c r="AK41" s="51" t="s">
        <v>47</v>
      </c>
      <c r="AL41" s="52">
        <v>4</v>
      </c>
      <c r="AM41" s="52">
        <v>4</v>
      </c>
      <c r="AN41" s="75">
        <v>5</v>
      </c>
      <c r="AO41" s="75">
        <v>5</v>
      </c>
      <c r="AP41" s="75">
        <v>5</v>
      </c>
      <c r="AQ41" s="75">
        <v>5</v>
      </c>
      <c r="AR41" s="75">
        <v>5</v>
      </c>
      <c r="AS41" s="75">
        <v>4</v>
      </c>
      <c r="AT41" s="75">
        <v>4</v>
      </c>
      <c r="AU41" s="75">
        <v>5</v>
      </c>
      <c r="AV41" s="75">
        <v>5</v>
      </c>
      <c r="AW41" s="75">
        <v>5</v>
      </c>
      <c r="AX41" s="75">
        <v>5</v>
      </c>
      <c r="AY41" s="75">
        <v>5</v>
      </c>
      <c r="AZ41" s="75">
        <v>4</v>
      </c>
      <c r="BA41" s="75">
        <v>4</v>
      </c>
      <c r="BB41" s="75">
        <v>5</v>
      </c>
      <c r="BC41" s="75">
        <v>5</v>
      </c>
      <c r="BD41" s="75">
        <v>5</v>
      </c>
      <c r="BE41" s="75">
        <v>5</v>
      </c>
      <c r="BF41" s="75">
        <v>5</v>
      </c>
      <c r="BG41" s="75">
        <v>4</v>
      </c>
      <c r="BH41" s="75">
        <v>4</v>
      </c>
      <c r="BI41" s="75">
        <v>5</v>
      </c>
      <c r="BJ41" s="75">
        <v>5</v>
      </c>
      <c r="BK41" s="75">
        <v>5</v>
      </c>
      <c r="BL41" s="75">
        <v>5</v>
      </c>
      <c r="BM41" s="75">
        <v>5</v>
      </c>
      <c r="BN41" s="75">
        <v>4</v>
      </c>
      <c r="BO41" s="75">
        <v>4</v>
      </c>
      <c r="BP41" s="53"/>
      <c r="BQ41" s="52"/>
    </row>
    <row r="42" spans="1:102">
      <c r="AK42" s="51" t="s">
        <v>113</v>
      </c>
      <c r="AL42" s="52">
        <v>2</v>
      </c>
      <c r="AM42" s="52">
        <v>2</v>
      </c>
      <c r="AN42" s="75">
        <v>2</v>
      </c>
      <c r="AO42" s="75">
        <v>2</v>
      </c>
      <c r="AP42" s="75">
        <v>2</v>
      </c>
      <c r="AQ42" s="75">
        <v>2</v>
      </c>
      <c r="AR42" s="75">
        <v>2</v>
      </c>
      <c r="AS42" s="75">
        <v>2</v>
      </c>
      <c r="AT42" s="75">
        <v>2</v>
      </c>
      <c r="AU42" s="75">
        <v>2</v>
      </c>
      <c r="AV42" s="75">
        <v>2</v>
      </c>
      <c r="AW42" s="75">
        <v>2</v>
      </c>
      <c r="AX42" s="75">
        <v>2</v>
      </c>
      <c r="AY42" s="75">
        <v>2</v>
      </c>
      <c r="AZ42" s="75">
        <v>2</v>
      </c>
      <c r="BA42" s="75">
        <v>2</v>
      </c>
      <c r="BB42" s="75">
        <v>2</v>
      </c>
      <c r="BC42" s="75">
        <v>2</v>
      </c>
      <c r="BD42" s="75">
        <v>2</v>
      </c>
      <c r="BE42" s="75">
        <v>2</v>
      </c>
      <c r="BF42" s="75">
        <v>2</v>
      </c>
      <c r="BG42" s="75">
        <v>2</v>
      </c>
      <c r="BH42" s="75">
        <v>2</v>
      </c>
      <c r="BI42" s="75">
        <v>2</v>
      </c>
      <c r="BJ42" s="75">
        <v>2</v>
      </c>
      <c r="BK42" s="75">
        <v>2</v>
      </c>
      <c r="BL42" s="75">
        <v>2</v>
      </c>
      <c r="BM42" s="75">
        <v>2</v>
      </c>
      <c r="BN42" s="75">
        <v>2</v>
      </c>
      <c r="BO42" s="75">
        <v>2</v>
      </c>
      <c r="BP42" s="53"/>
      <c r="BQ42" s="52"/>
    </row>
    <row r="43" spans="1:102" ht="19" thickBot="1">
      <c r="AK43" s="54" t="s">
        <v>47</v>
      </c>
      <c r="AL43" s="55">
        <v>3</v>
      </c>
      <c r="AM43" s="55">
        <v>3</v>
      </c>
      <c r="AN43" s="55">
        <v>3</v>
      </c>
      <c r="AO43" s="55">
        <v>3</v>
      </c>
      <c r="AP43" s="55">
        <v>3</v>
      </c>
      <c r="AQ43" s="55">
        <v>3</v>
      </c>
      <c r="AR43" s="55">
        <v>3</v>
      </c>
      <c r="AS43" s="55">
        <v>3</v>
      </c>
      <c r="AT43" s="55">
        <v>3</v>
      </c>
      <c r="AU43" s="55">
        <v>3</v>
      </c>
      <c r="AV43" s="55">
        <v>3</v>
      </c>
      <c r="AW43" s="55">
        <v>3</v>
      </c>
      <c r="AX43" s="55">
        <v>3</v>
      </c>
      <c r="AY43" s="55">
        <v>3</v>
      </c>
      <c r="AZ43" s="55">
        <v>3</v>
      </c>
      <c r="BA43" s="55">
        <v>3</v>
      </c>
      <c r="BB43" s="55">
        <v>3</v>
      </c>
      <c r="BC43" s="55">
        <v>3</v>
      </c>
      <c r="BD43" s="55">
        <v>3</v>
      </c>
      <c r="BE43" s="55">
        <v>3</v>
      </c>
      <c r="BF43" s="55">
        <v>3</v>
      </c>
      <c r="BG43" s="55">
        <v>3</v>
      </c>
      <c r="BH43" s="55">
        <v>3</v>
      </c>
      <c r="BI43" s="55">
        <v>3</v>
      </c>
      <c r="BJ43" s="55">
        <v>3</v>
      </c>
      <c r="BK43" s="55">
        <v>3</v>
      </c>
      <c r="BL43" s="55">
        <v>3</v>
      </c>
      <c r="BM43" s="55">
        <v>3</v>
      </c>
      <c r="BN43" s="55">
        <v>3</v>
      </c>
      <c r="BO43" s="55">
        <v>3</v>
      </c>
      <c r="BP43" s="61"/>
      <c r="BQ43" s="51"/>
    </row>
    <row r="44" spans="1:102">
      <c r="AK44" s="51" t="s">
        <v>56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8"/>
      <c r="BP44" s="53"/>
      <c r="BQ44" s="52"/>
    </row>
    <row r="45" spans="1:102">
      <c r="AK45" s="51" t="s">
        <v>47</v>
      </c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8"/>
      <c r="BP45" s="53"/>
      <c r="BQ45" s="52"/>
    </row>
    <row r="46" spans="1:102">
      <c r="AK46" s="51" t="s">
        <v>57</v>
      </c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8"/>
      <c r="BP46" s="53"/>
      <c r="BQ46" s="52"/>
    </row>
    <row r="47" spans="1:102">
      <c r="AK47" s="51" t="s">
        <v>47</v>
      </c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8"/>
      <c r="BP47" s="53"/>
      <c r="BQ47" s="52"/>
    </row>
    <row r="48" spans="1:102">
      <c r="AK48" s="51" t="s">
        <v>58</v>
      </c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8"/>
      <c r="BP48" s="53"/>
      <c r="BQ48" s="52"/>
    </row>
    <row r="49" spans="37:69">
      <c r="AK49" s="51" t="s">
        <v>47</v>
      </c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8"/>
      <c r="BP49" s="53"/>
      <c r="BQ49" s="52"/>
    </row>
    <row r="50" spans="37:69">
      <c r="AK50" s="51" t="s">
        <v>59</v>
      </c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8"/>
      <c r="BP50" s="53"/>
      <c r="BQ50" s="52"/>
    </row>
    <row r="51" spans="37:69">
      <c r="AK51" s="51" t="s">
        <v>47</v>
      </c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8"/>
      <c r="BP51" s="53"/>
      <c r="BQ51" s="52"/>
    </row>
    <row r="52" spans="37:69">
      <c r="AK52" s="51" t="s">
        <v>60</v>
      </c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8"/>
      <c r="BP52" s="53"/>
      <c r="BQ52" s="52"/>
    </row>
    <row r="53" spans="37:69">
      <c r="AK53" s="51" t="s">
        <v>47</v>
      </c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8"/>
      <c r="BP53" s="53"/>
      <c r="BQ53" s="52"/>
    </row>
    <row r="54" spans="37:69">
      <c r="AK54" s="51" t="s">
        <v>61</v>
      </c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8"/>
      <c r="BP54" s="53"/>
      <c r="BQ54" s="52"/>
    </row>
    <row r="55" spans="37:69" ht="19" thickBot="1">
      <c r="AK55" s="51" t="s">
        <v>47</v>
      </c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8"/>
      <c r="BP55" s="53"/>
      <c r="BQ55" s="52"/>
    </row>
    <row r="56" spans="37:69">
      <c r="AK56" s="47" t="s">
        <v>98</v>
      </c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16"/>
      <c r="BQ56" s="52"/>
    </row>
    <row r="57" spans="37:69">
      <c r="AK57" s="51" t="s">
        <v>47</v>
      </c>
      <c r="AL57" s="52">
        <v>2</v>
      </c>
      <c r="AM57" s="52">
        <v>2</v>
      </c>
      <c r="AN57" s="52">
        <v>2</v>
      </c>
      <c r="AO57" s="52">
        <v>2</v>
      </c>
      <c r="AP57" s="52">
        <v>2</v>
      </c>
      <c r="AQ57" s="52">
        <v>2</v>
      </c>
      <c r="AR57" s="52">
        <v>2</v>
      </c>
      <c r="AS57" s="52">
        <v>2</v>
      </c>
      <c r="AT57" s="52">
        <v>2</v>
      </c>
      <c r="AU57" s="52">
        <v>2</v>
      </c>
      <c r="AV57" s="52">
        <v>2</v>
      </c>
      <c r="AW57" s="52">
        <v>2</v>
      </c>
      <c r="AX57" s="52">
        <v>2</v>
      </c>
      <c r="AY57" s="52">
        <v>2</v>
      </c>
      <c r="AZ57" s="52">
        <v>2</v>
      </c>
      <c r="BA57" s="52">
        <v>2</v>
      </c>
      <c r="BB57" s="52">
        <v>2</v>
      </c>
      <c r="BC57" s="52">
        <v>2</v>
      </c>
      <c r="BD57" s="52">
        <v>2</v>
      </c>
      <c r="BE57" s="52">
        <v>2</v>
      </c>
      <c r="BF57" s="52">
        <v>2</v>
      </c>
      <c r="BG57" s="52">
        <v>2</v>
      </c>
      <c r="BH57" s="52">
        <v>2</v>
      </c>
      <c r="BI57" s="52">
        <v>2</v>
      </c>
      <c r="BJ57" s="52">
        <v>2</v>
      </c>
      <c r="BK57" s="52">
        <v>2</v>
      </c>
      <c r="BL57" s="52">
        <v>2</v>
      </c>
      <c r="BM57" s="52">
        <v>2</v>
      </c>
      <c r="BN57" s="52">
        <v>2</v>
      </c>
      <c r="BO57" s="52">
        <v>2</v>
      </c>
      <c r="BP57" s="11"/>
      <c r="BQ57" s="52"/>
    </row>
    <row r="58" spans="37:69">
      <c r="AK58" s="51" t="s">
        <v>97</v>
      </c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11"/>
      <c r="BQ58" s="52"/>
    </row>
    <row r="59" spans="37:69">
      <c r="AK59" s="51" t="s">
        <v>47</v>
      </c>
      <c r="AL59" s="52">
        <v>1</v>
      </c>
      <c r="AM59" s="52">
        <v>1</v>
      </c>
      <c r="AN59" s="52">
        <v>1</v>
      </c>
      <c r="AO59" s="52">
        <v>1</v>
      </c>
      <c r="AP59" s="52">
        <v>1</v>
      </c>
      <c r="AQ59" s="52">
        <v>1</v>
      </c>
      <c r="AR59" s="52">
        <v>1</v>
      </c>
      <c r="AS59" s="52">
        <v>1</v>
      </c>
      <c r="AT59" s="52">
        <v>1</v>
      </c>
      <c r="AU59" s="52">
        <v>1</v>
      </c>
      <c r="AV59" s="52">
        <v>1</v>
      </c>
      <c r="AW59" s="52">
        <v>1</v>
      </c>
      <c r="AX59" s="52">
        <v>1</v>
      </c>
      <c r="AY59" s="52">
        <v>1</v>
      </c>
      <c r="AZ59" s="52">
        <v>1</v>
      </c>
      <c r="BA59" s="52">
        <v>1</v>
      </c>
      <c r="BB59" s="52">
        <v>1</v>
      </c>
      <c r="BC59" s="52">
        <v>1</v>
      </c>
      <c r="BD59" s="52">
        <v>1</v>
      </c>
      <c r="BE59" s="52">
        <v>1</v>
      </c>
      <c r="BF59" s="52">
        <v>1</v>
      </c>
      <c r="BG59" s="52">
        <v>1</v>
      </c>
      <c r="BH59" s="52">
        <v>1</v>
      </c>
      <c r="BI59" s="52">
        <v>2</v>
      </c>
      <c r="BJ59" s="52">
        <v>2</v>
      </c>
      <c r="BK59" s="52">
        <v>2</v>
      </c>
      <c r="BL59" s="52">
        <v>2</v>
      </c>
      <c r="BM59" s="52">
        <v>2</v>
      </c>
      <c r="BN59" s="52">
        <v>1</v>
      </c>
      <c r="BO59" s="52">
        <v>1</v>
      </c>
      <c r="BP59" s="60"/>
      <c r="BQ59" s="52"/>
    </row>
    <row r="60" spans="37:69">
      <c r="AK60" s="51" t="s">
        <v>96</v>
      </c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11"/>
      <c r="BQ60" s="52"/>
    </row>
    <row r="61" spans="37:69">
      <c r="AK61" s="51" t="s">
        <v>47</v>
      </c>
      <c r="AL61" s="52">
        <v>3</v>
      </c>
      <c r="AM61" s="52">
        <v>3</v>
      </c>
      <c r="AN61" s="52">
        <v>3</v>
      </c>
      <c r="AO61" s="52">
        <v>3</v>
      </c>
      <c r="AP61" s="52">
        <v>3</v>
      </c>
      <c r="AQ61" s="52">
        <v>3</v>
      </c>
      <c r="AR61" s="52">
        <v>3</v>
      </c>
      <c r="AS61" s="52">
        <v>3</v>
      </c>
      <c r="AT61" s="52">
        <v>3</v>
      </c>
      <c r="AU61" s="52">
        <v>3</v>
      </c>
      <c r="AV61" s="52">
        <v>3</v>
      </c>
      <c r="AW61" s="52">
        <v>3</v>
      </c>
      <c r="AX61" s="52">
        <v>3</v>
      </c>
      <c r="AY61" s="52">
        <v>3</v>
      </c>
      <c r="AZ61" s="52">
        <v>3</v>
      </c>
      <c r="BA61" s="52">
        <v>3</v>
      </c>
      <c r="BB61" s="52">
        <v>3</v>
      </c>
      <c r="BC61" s="52">
        <v>3</v>
      </c>
      <c r="BD61" s="52">
        <v>3</v>
      </c>
      <c r="BE61" s="52">
        <v>3</v>
      </c>
      <c r="BF61" s="52">
        <v>3</v>
      </c>
      <c r="BG61" s="52">
        <v>3</v>
      </c>
      <c r="BH61" s="52">
        <v>3</v>
      </c>
      <c r="BI61" s="52">
        <v>3</v>
      </c>
      <c r="BJ61" s="52">
        <v>3</v>
      </c>
      <c r="BK61" s="52">
        <v>3</v>
      </c>
      <c r="BL61" s="52">
        <v>3</v>
      </c>
      <c r="BM61" s="52">
        <v>3</v>
      </c>
      <c r="BN61" s="52">
        <v>3</v>
      </c>
      <c r="BO61" s="52">
        <v>3</v>
      </c>
      <c r="BP61" s="11"/>
      <c r="BQ61" s="52"/>
    </row>
    <row r="62" spans="37:69">
      <c r="AK62" s="51" t="s">
        <v>95</v>
      </c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11"/>
      <c r="BQ62" s="52"/>
    </row>
    <row r="63" spans="37:69" ht="19" thickBot="1">
      <c r="AK63" s="54" t="s">
        <v>47</v>
      </c>
      <c r="AL63" s="55">
        <v>2</v>
      </c>
      <c r="AM63" s="55">
        <v>2</v>
      </c>
      <c r="AN63" s="55">
        <v>2</v>
      </c>
      <c r="AO63" s="55">
        <v>2</v>
      </c>
      <c r="AP63" s="55">
        <v>2</v>
      </c>
      <c r="AQ63" s="55">
        <v>2</v>
      </c>
      <c r="AR63" s="55">
        <v>2</v>
      </c>
      <c r="AS63" s="55">
        <v>2</v>
      </c>
      <c r="AT63" s="55">
        <v>2</v>
      </c>
      <c r="AU63" s="55">
        <v>2</v>
      </c>
      <c r="AV63" s="55">
        <v>2</v>
      </c>
      <c r="AW63" s="55">
        <v>2</v>
      </c>
      <c r="AX63" s="55">
        <v>2</v>
      </c>
      <c r="AY63" s="55">
        <v>2</v>
      </c>
      <c r="AZ63" s="55">
        <v>2</v>
      </c>
      <c r="BA63" s="55">
        <v>2</v>
      </c>
      <c r="BB63" s="55">
        <v>2</v>
      </c>
      <c r="BC63" s="55">
        <v>2</v>
      </c>
      <c r="BD63" s="55">
        <v>2</v>
      </c>
      <c r="BE63" s="55">
        <v>2</v>
      </c>
      <c r="BF63" s="55">
        <v>2</v>
      </c>
      <c r="BG63" s="55">
        <v>2</v>
      </c>
      <c r="BH63" s="55">
        <v>2</v>
      </c>
      <c r="BI63" s="55">
        <v>2</v>
      </c>
      <c r="BJ63" s="55">
        <v>2</v>
      </c>
      <c r="BK63" s="55">
        <v>2</v>
      </c>
      <c r="BL63" s="55">
        <v>2</v>
      </c>
      <c r="BM63" s="55">
        <v>2</v>
      </c>
      <c r="BN63" s="55">
        <v>2</v>
      </c>
      <c r="BO63" s="55">
        <v>2</v>
      </c>
      <c r="BP63" s="18"/>
      <c r="BQ63" s="51"/>
    </row>
    <row r="64" spans="37:69">
      <c r="AK64" s="51" t="s">
        <v>94</v>
      </c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11"/>
      <c r="BQ64" s="52"/>
    </row>
    <row r="65" spans="10:69">
      <c r="AK65" s="51" t="s">
        <v>47</v>
      </c>
      <c r="AL65" s="52">
        <v>2</v>
      </c>
      <c r="AM65" s="52">
        <v>2</v>
      </c>
      <c r="AN65" s="52">
        <v>2</v>
      </c>
      <c r="AO65" s="52">
        <v>2</v>
      </c>
      <c r="AP65" s="52">
        <v>2</v>
      </c>
      <c r="AQ65" s="52">
        <v>2</v>
      </c>
      <c r="AR65" s="52">
        <v>2</v>
      </c>
      <c r="AS65" s="52">
        <v>2</v>
      </c>
      <c r="AT65" s="52">
        <v>2</v>
      </c>
      <c r="AU65" s="52">
        <v>2</v>
      </c>
      <c r="AV65" s="52">
        <v>2</v>
      </c>
      <c r="AW65" s="52">
        <v>2</v>
      </c>
      <c r="AX65" s="52">
        <v>2</v>
      </c>
      <c r="AY65" s="52">
        <v>2</v>
      </c>
      <c r="AZ65" s="52">
        <v>2</v>
      </c>
      <c r="BA65" s="52">
        <v>2</v>
      </c>
      <c r="BB65" s="52">
        <v>2</v>
      </c>
      <c r="BC65" s="52">
        <v>2</v>
      </c>
      <c r="BD65" s="52">
        <v>2</v>
      </c>
      <c r="BE65" s="52">
        <v>2</v>
      </c>
      <c r="BF65" s="52">
        <v>2</v>
      </c>
      <c r="BG65" s="52">
        <v>2</v>
      </c>
      <c r="BH65" s="52">
        <v>2</v>
      </c>
      <c r="BI65" s="52">
        <v>2</v>
      </c>
      <c r="BJ65" s="52">
        <v>2</v>
      </c>
      <c r="BK65" s="52">
        <v>2</v>
      </c>
      <c r="BL65" s="52">
        <v>2</v>
      </c>
      <c r="BM65" s="52">
        <v>2</v>
      </c>
      <c r="BN65" s="52">
        <v>2</v>
      </c>
      <c r="BO65" s="52">
        <v>2</v>
      </c>
      <c r="BP65" s="60"/>
      <c r="BQ65" s="52"/>
    </row>
    <row r="66" spans="10:69">
      <c r="AK66" s="51" t="s">
        <v>93</v>
      </c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11"/>
      <c r="BQ66" s="52"/>
    </row>
    <row r="67" spans="10:69" ht="19" thickBot="1">
      <c r="AK67" s="54" t="s">
        <v>47</v>
      </c>
      <c r="AL67" s="55">
        <v>2</v>
      </c>
      <c r="AM67" s="55">
        <v>2</v>
      </c>
      <c r="AN67" s="55">
        <v>2</v>
      </c>
      <c r="AO67" s="55">
        <v>2</v>
      </c>
      <c r="AP67" s="55">
        <v>2</v>
      </c>
      <c r="AQ67" s="55">
        <v>2</v>
      </c>
      <c r="AR67" s="55">
        <v>2</v>
      </c>
      <c r="AS67" s="55">
        <v>1</v>
      </c>
      <c r="AT67" s="55">
        <v>1</v>
      </c>
      <c r="AU67" s="55">
        <v>2</v>
      </c>
      <c r="AV67" s="55">
        <v>2</v>
      </c>
      <c r="AW67" s="55">
        <v>2</v>
      </c>
      <c r="AX67" s="55">
        <v>2</v>
      </c>
      <c r="AY67" s="55">
        <v>2</v>
      </c>
      <c r="AZ67" s="55">
        <v>1</v>
      </c>
      <c r="BA67" s="55">
        <v>1</v>
      </c>
      <c r="BB67" s="55">
        <v>2</v>
      </c>
      <c r="BC67" s="55">
        <v>2</v>
      </c>
      <c r="BD67" s="55">
        <v>2</v>
      </c>
      <c r="BE67" s="55">
        <v>2</v>
      </c>
      <c r="BF67" s="55">
        <v>2</v>
      </c>
      <c r="BG67" s="55">
        <v>1</v>
      </c>
      <c r="BH67" s="55">
        <v>1</v>
      </c>
      <c r="BI67" s="55">
        <v>2</v>
      </c>
      <c r="BJ67" s="55">
        <v>2</v>
      </c>
      <c r="BK67" s="55">
        <v>2</v>
      </c>
      <c r="BL67" s="55">
        <v>2</v>
      </c>
      <c r="BM67" s="55">
        <v>2</v>
      </c>
      <c r="BN67" s="55">
        <v>1</v>
      </c>
      <c r="BO67" s="55">
        <v>2</v>
      </c>
      <c r="BP67" s="18"/>
      <c r="BQ67" s="51"/>
    </row>
    <row r="68" spans="10:69" ht="19" thickBot="1">
      <c r="AK68" s="54" t="s">
        <v>53</v>
      </c>
      <c r="AL68" s="55">
        <v>2</v>
      </c>
      <c r="AM68" s="55">
        <v>2</v>
      </c>
      <c r="AN68" s="55">
        <v>2</v>
      </c>
      <c r="AO68" s="55">
        <v>2</v>
      </c>
      <c r="AP68" s="55">
        <v>2</v>
      </c>
      <c r="AQ68" s="55">
        <v>2</v>
      </c>
      <c r="AR68" s="55">
        <v>2</v>
      </c>
      <c r="AS68" s="55">
        <v>2</v>
      </c>
      <c r="AT68" s="55">
        <v>2</v>
      </c>
      <c r="AU68" s="55">
        <v>2</v>
      </c>
      <c r="AV68" s="55">
        <v>2</v>
      </c>
      <c r="AW68" s="55">
        <v>2</v>
      </c>
      <c r="AX68" s="55">
        <v>2</v>
      </c>
      <c r="AY68" s="55">
        <v>2</v>
      </c>
      <c r="AZ68" s="55">
        <v>2</v>
      </c>
      <c r="BA68" s="55">
        <v>2</v>
      </c>
      <c r="BB68" s="55">
        <v>2</v>
      </c>
      <c r="BC68" s="55">
        <v>2</v>
      </c>
      <c r="BD68" s="55">
        <v>2</v>
      </c>
      <c r="BE68" s="55">
        <v>2</v>
      </c>
      <c r="BF68" s="55">
        <v>2</v>
      </c>
      <c r="BG68" s="55">
        <v>2</v>
      </c>
      <c r="BH68" s="55">
        <v>2</v>
      </c>
      <c r="BI68" s="55">
        <v>2</v>
      </c>
      <c r="BJ68" s="55">
        <v>2</v>
      </c>
      <c r="BK68" s="55">
        <v>2</v>
      </c>
      <c r="BL68" s="55">
        <v>2</v>
      </c>
      <c r="BM68" s="55">
        <v>2</v>
      </c>
      <c r="BN68" s="55">
        <v>2</v>
      </c>
      <c r="BO68" s="55">
        <v>2</v>
      </c>
      <c r="BP68" s="61"/>
      <c r="BQ68" s="51"/>
    </row>
    <row r="69" spans="10:69" ht="19" thickBot="1">
      <c r="AK69" s="70" t="s">
        <v>109</v>
      </c>
    </row>
    <row r="70" spans="10:69">
      <c r="AK70" s="62" t="s">
        <v>17</v>
      </c>
      <c r="AL70" s="63">
        <f t="shared" ref="AL70:BO70" si="7">COUNTIF(AL5:AL34,"*A*")-COUNTIF(AL5:AL34,"*AL*")</f>
        <v>2</v>
      </c>
      <c r="AM70" s="63">
        <f t="shared" si="7"/>
        <v>0</v>
      </c>
      <c r="AN70" s="63">
        <f t="shared" si="7"/>
        <v>1</v>
      </c>
      <c r="AO70" s="63">
        <f t="shared" si="7"/>
        <v>1</v>
      </c>
      <c r="AP70" s="63">
        <f t="shared" si="7"/>
        <v>1</v>
      </c>
      <c r="AQ70" s="63">
        <f t="shared" si="7"/>
        <v>0</v>
      </c>
      <c r="AR70" s="63">
        <f t="shared" si="7"/>
        <v>0</v>
      </c>
      <c r="AS70" s="63">
        <f t="shared" si="7"/>
        <v>1</v>
      </c>
      <c r="AT70" s="63">
        <f t="shared" si="7"/>
        <v>0</v>
      </c>
      <c r="AU70" s="63">
        <f t="shared" si="7"/>
        <v>1</v>
      </c>
      <c r="AV70" s="63">
        <f t="shared" si="7"/>
        <v>1</v>
      </c>
      <c r="AW70" s="63">
        <f t="shared" si="7"/>
        <v>2</v>
      </c>
      <c r="AX70" s="63">
        <f t="shared" si="7"/>
        <v>3</v>
      </c>
      <c r="AY70" s="63">
        <f t="shared" si="7"/>
        <v>1</v>
      </c>
      <c r="AZ70" s="63">
        <f t="shared" si="7"/>
        <v>1</v>
      </c>
      <c r="BA70" s="63">
        <f t="shared" si="7"/>
        <v>1</v>
      </c>
      <c r="BB70" s="63">
        <f t="shared" si="7"/>
        <v>1</v>
      </c>
      <c r="BC70" s="63">
        <f t="shared" si="7"/>
        <v>2</v>
      </c>
      <c r="BD70" s="63">
        <f t="shared" si="7"/>
        <v>1</v>
      </c>
      <c r="BE70" s="63">
        <f t="shared" si="7"/>
        <v>2</v>
      </c>
      <c r="BF70" s="63">
        <f t="shared" si="7"/>
        <v>0</v>
      </c>
      <c r="BG70" s="63">
        <f t="shared" si="7"/>
        <v>0</v>
      </c>
      <c r="BH70" s="63">
        <f t="shared" si="7"/>
        <v>0</v>
      </c>
      <c r="BI70" s="63">
        <f t="shared" si="7"/>
        <v>1</v>
      </c>
      <c r="BJ70" s="63">
        <f t="shared" si="7"/>
        <v>1</v>
      </c>
      <c r="BK70" s="63">
        <f t="shared" si="7"/>
        <v>0</v>
      </c>
      <c r="BL70" s="63">
        <f t="shared" si="7"/>
        <v>1</v>
      </c>
      <c r="BM70" s="63">
        <f t="shared" si="7"/>
        <v>0</v>
      </c>
      <c r="BN70" s="63">
        <f t="shared" si="7"/>
        <v>0</v>
      </c>
      <c r="BO70" s="63">
        <f t="shared" si="7"/>
        <v>2</v>
      </c>
      <c r="BP70" s="64">
        <f>COUNTIF(BP5:BP34,"*A*")</f>
        <v>0</v>
      </c>
      <c r="BQ70" s="57"/>
    </row>
    <row r="71" spans="10:69">
      <c r="AK71" s="65" t="s">
        <v>18</v>
      </c>
      <c r="AL71" s="57">
        <f t="shared" ref="AL71:BO71" si="8">COUNTIF(AL5:AL34,"*P*")+COUNTIF(AL5:AL34,"*E*")</f>
        <v>0</v>
      </c>
      <c r="AM71" s="57">
        <f t="shared" si="8"/>
        <v>0</v>
      </c>
      <c r="AN71" s="57">
        <f t="shared" si="8"/>
        <v>1</v>
      </c>
      <c r="AO71" s="57">
        <f t="shared" si="8"/>
        <v>0</v>
      </c>
      <c r="AP71" s="57">
        <f t="shared" si="8"/>
        <v>0</v>
      </c>
      <c r="AQ71" s="57">
        <f t="shared" si="8"/>
        <v>0</v>
      </c>
      <c r="AR71" s="57">
        <f t="shared" si="8"/>
        <v>0</v>
      </c>
      <c r="AS71" s="57">
        <f t="shared" si="8"/>
        <v>0</v>
      </c>
      <c r="AT71" s="57">
        <f t="shared" si="8"/>
        <v>2</v>
      </c>
      <c r="AU71" s="57">
        <f t="shared" si="8"/>
        <v>0</v>
      </c>
      <c r="AV71" s="57">
        <f t="shared" si="8"/>
        <v>0</v>
      </c>
      <c r="AW71" s="57">
        <f t="shared" si="8"/>
        <v>0</v>
      </c>
      <c r="AX71" s="57">
        <f t="shared" si="8"/>
        <v>1</v>
      </c>
      <c r="AY71" s="57">
        <f t="shared" si="8"/>
        <v>0</v>
      </c>
      <c r="AZ71" s="57">
        <f t="shared" si="8"/>
        <v>0</v>
      </c>
      <c r="BA71" s="57">
        <f t="shared" si="8"/>
        <v>0</v>
      </c>
      <c r="BB71" s="57">
        <f t="shared" si="8"/>
        <v>0</v>
      </c>
      <c r="BC71" s="57">
        <f t="shared" si="8"/>
        <v>0</v>
      </c>
      <c r="BD71" s="57">
        <f t="shared" si="8"/>
        <v>0</v>
      </c>
      <c r="BE71" s="57">
        <f t="shared" si="8"/>
        <v>0</v>
      </c>
      <c r="BF71" s="57">
        <f t="shared" si="8"/>
        <v>0</v>
      </c>
      <c r="BG71" s="57">
        <f t="shared" si="8"/>
        <v>0</v>
      </c>
      <c r="BH71" s="57">
        <f t="shared" si="8"/>
        <v>0</v>
      </c>
      <c r="BI71" s="57">
        <f t="shared" si="8"/>
        <v>1</v>
      </c>
      <c r="BJ71" s="57">
        <f t="shared" si="8"/>
        <v>0</v>
      </c>
      <c r="BK71" s="57">
        <f t="shared" si="8"/>
        <v>0</v>
      </c>
      <c r="BL71" s="57">
        <f t="shared" si="8"/>
        <v>0</v>
      </c>
      <c r="BM71" s="57">
        <f t="shared" si="8"/>
        <v>0</v>
      </c>
      <c r="BN71" s="57">
        <f t="shared" si="8"/>
        <v>1</v>
      </c>
      <c r="BO71" s="57">
        <f t="shared" si="8"/>
        <v>1</v>
      </c>
      <c r="BP71" s="66">
        <f>COUNTIF(BP5:BP34,"*P*")</f>
        <v>0</v>
      </c>
      <c r="BQ71" s="57"/>
    </row>
    <row r="72" spans="10:69" ht="19" thickBot="1">
      <c r="AK72" s="67" t="s">
        <v>19</v>
      </c>
      <c r="AL72" s="68">
        <f t="shared" ref="AL72:BP72" si="9">COUNTIF(AL5:AL34,"*N*")</f>
        <v>2</v>
      </c>
      <c r="AM72" s="68">
        <f t="shared" si="9"/>
        <v>0</v>
      </c>
      <c r="AN72" s="68">
        <f t="shared" si="9"/>
        <v>0</v>
      </c>
      <c r="AO72" s="68">
        <f t="shared" si="9"/>
        <v>0</v>
      </c>
      <c r="AP72" s="68">
        <f t="shared" si="9"/>
        <v>0</v>
      </c>
      <c r="AQ72" s="68">
        <f t="shared" si="9"/>
        <v>0</v>
      </c>
      <c r="AR72" s="68">
        <f t="shared" si="9"/>
        <v>0</v>
      </c>
      <c r="AS72" s="68">
        <f t="shared" si="9"/>
        <v>1</v>
      </c>
      <c r="AT72" s="68">
        <f t="shared" si="9"/>
        <v>0</v>
      </c>
      <c r="AU72" s="68">
        <f t="shared" si="9"/>
        <v>0</v>
      </c>
      <c r="AV72" s="68">
        <f t="shared" si="9"/>
        <v>1</v>
      </c>
      <c r="AW72" s="68">
        <f t="shared" si="9"/>
        <v>0</v>
      </c>
      <c r="AX72" s="68">
        <f t="shared" si="9"/>
        <v>0</v>
      </c>
      <c r="AY72" s="68">
        <f t="shared" si="9"/>
        <v>0</v>
      </c>
      <c r="AZ72" s="68">
        <f t="shared" si="9"/>
        <v>0</v>
      </c>
      <c r="BA72" s="68">
        <f t="shared" si="9"/>
        <v>0</v>
      </c>
      <c r="BB72" s="68">
        <f t="shared" si="9"/>
        <v>0</v>
      </c>
      <c r="BC72" s="68">
        <f t="shared" si="9"/>
        <v>1</v>
      </c>
      <c r="BD72" s="68">
        <f t="shared" si="9"/>
        <v>1</v>
      </c>
      <c r="BE72" s="68">
        <f t="shared" si="9"/>
        <v>0</v>
      </c>
      <c r="BF72" s="68">
        <f t="shared" si="9"/>
        <v>1</v>
      </c>
      <c r="BG72" s="68">
        <f t="shared" si="9"/>
        <v>1</v>
      </c>
      <c r="BH72" s="68">
        <f t="shared" si="9"/>
        <v>1</v>
      </c>
      <c r="BI72" s="68">
        <f t="shared" si="9"/>
        <v>0</v>
      </c>
      <c r="BJ72" s="68">
        <f t="shared" si="9"/>
        <v>0</v>
      </c>
      <c r="BK72" s="68">
        <f t="shared" si="9"/>
        <v>0</v>
      </c>
      <c r="BL72" s="68">
        <f t="shared" si="9"/>
        <v>0</v>
      </c>
      <c r="BM72" s="68">
        <f t="shared" si="9"/>
        <v>1</v>
      </c>
      <c r="BN72" s="68">
        <f t="shared" si="9"/>
        <v>1</v>
      </c>
      <c r="BO72" s="68">
        <f t="shared" si="9"/>
        <v>0</v>
      </c>
      <c r="BP72" s="69">
        <f t="shared" si="9"/>
        <v>0</v>
      </c>
      <c r="BQ72" s="57"/>
    </row>
    <row r="73" spans="10:69" s="56" customFormat="1" ht="16">
      <c r="AK73" s="65" t="s">
        <v>99</v>
      </c>
      <c r="AL73" s="57">
        <f>COUNTIF(AL5:AL20,"*A*")-COUNTIF(AL5:AL20,"*AL*")</f>
        <v>1</v>
      </c>
      <c r="AM73" s="57">
        <f>COUNTIF(AM5:AM20,"*A*")-COUNTIF(AM5:AM20,"*AL*")</f>
        <v>0</v>
      </c>
      <c r="AN73" s="57">
        <f t="shared" ref="AN73:BP73" si="10">COUNTIF(AN5:AN20,"*A*")-COUNTIF(AN5:AN20,"*AL*")</f>
        <v>1</v>
      </c>
      <c r="AO73" s="57">
        <f t="shared" si="10"/>
        <v>1</v>
      </c>
      <c r="AP73" s="57">
        <f t="shared" si="10"/>
        <v>1</v>
      </c>
      <c r="AQ73" s="57">
        <f t="shared" si="10"/>
        <v>0</v>
      </c>
      <c r="AR73" s="57">
        <f t="shared" si="10"/>
        <v>0</v>
      </c>
      <c r="AS73" s="57">
        <f t="shared" si="10"/>
        <v>1</v>
      </c>
      <c r="AT73" s="57">
        <f t="shared" si="10"/>
        <v>0</v>
      </c>
      <c r="AU73" s="57">
        <f t="shared" si="10"/>
        <v>1</v>
      </c>
      <c r="AV73" s="57">
        <f t="shared" si="10"/>
        <v>1</v>
      </c>
      <c r="AW73" s="57">
        <f t="shared" si="10"/>
        <v>1</v>
      </c>
      <c r="AX73" s="57">
        <f t="shared" si="10"/>
        <v>2</v>
      </c>
      <c r="AY73" s="57">
        <f t="shared" si="10"/>
        <v>1</v>
      </c>
      <c r="AZ73" s="57">
        <f t="shared" si="10"/>
        <v>0</v>
      </c>
      <c r="BA73" s="57">
        <f t="shared" si="10"/>
        <v>0</v>
      </c>
      <c r="BB73" s="57">
        <f t="shared" si="10"/>
        <v>0</v>
      </c>
      <c r="BC73" s="57">
        <f t="shared" si="10"/>
        <v>1</v>
      </c>
      <c r="BD73" s="57">
        <f t="shared" si="10"/>
        <v>1</v>
      </c>
      <c r="BE73" s="57">
        <f t="shared" si="10"/>
        <v>2</v>
      </c>
      <c r="BF73" s="57">
        <f t="shared" si="10"/>
        <v>0</v>
      </c>
      <c r="BG73" s="57">
        <f t="shared" si="10"/>
        <v>0</v>
      </c>
      <c r="BH73" s="57">
        <f t="shared" si="10"/>
        <v>0</v>
      </c>
      <c r="BI73" s="57">
        <f t="shared" si="10"/>
        <v>1</v>
      </c>
      <c r="BJ73" s="57">
        <f t="shared" si="10"/>
        <v>1</v>
      </c>
      <c r="BK73" s="57">
        <f t="shared" si="10"/>
        <v>0</v>
      </c>
      <c r="BL73" s="57">
        <f t="shared" si="10"/>
        <v>1</v>
      </c>
      <c r="BM73" s="57">
        <f t="shared" si="10"/>
        <v>0</v>
      </c>
      <c r="BN73" s="57">
        <f t="shared" si="10"/>
        <v>0</v>
      </c>
      <c r="BO73" s="57">
        <f t="shared" si="10"/>
        <v>2</v>
      </c>
      <c r="BP73" s="66">
        <f t="shared" si="10"/>
        <v>0</v>
      </c>
      <c r="BQ73" s="57"/>
    </row>
    <row r="74" spans="10:69" s="56" customFormat="1" ht="16">
      <c r="AK74" s="65" t="s">
        <v>100</v>
      </c>
      <c r="AL74" s="57">
        <f t="shared" ref="AL74:BP74" si="11">COUNTIF(AL5:AL20,"*P*")+COUNTIF(AL5:AL20,"*E*")</f>
        <v>0</v>
      </c>
      <c r="AM74" s="57">
        <f t="shared" si="11"/>
        <v>0</v>
      </c>
      <c r="AN74" s="57">
        <f t="shared" si="11"/>
        <v>0</v>
      </c>
      <c r="AO74" s="57">
        <f t="shared" si="11"/>
        <v>0</v>
      </c>
      <c r="AP74" s="57">
        <f t="shared" si="11"/>
        <v>0</v>
      </c>
      <c r="AQ74" s="57">
        <f t="shared" si="11"/>
        <v>0</v>
      </c>
      <c r="AR74" s="57">
        <f t="shared" si="11"/>
        <v>0</v>
      </c>
      <c r="AS74" s="57">
        <f t="shared" si="11"/>
        <v>0</v>
      </c>
      <c r="AT74" s="57">
        <f t="shared" si="11"/>
        <v>2</v>
      </c>
      <c r="AU74" s="57">
        <f t="shared" si="11"/>
        <v>0</v>
      </c>
      <c r="AV74" s="57">
        <f t="shared" si="11"/>
        <v>0</v>
      </c>
      <c r="AW74" s="57">
        <f t="shared" si="11"/>
        <v>0</v>
      </c>
      <c r="AX74" s="57">
        <f t="shared" si="11"/>
        <v>1</v>
      </c>
      <c r="AY74" s="57">
        <f t="shared" si="11"/>
        <v>0</v>
      </c>
      <c r="AZ74" s="57">
        <f t="shared" si="11"/>
        <v>0</v>
      </c>
      <c r="BA74" s="57">
        <f t="shared" si="11"/>
        <v>0</v>
      </c>
      <c r="BB74" s="57">
        <f t="shared" si="11"/>
        <v>0</v>
      </c>
      <c r="BC74" s="57">
        <f t="shared" si="11"/>
        <v>0</v>
      </c>
      <c r="BD74" s="57">
        <f t="shared" si="11"/>
        <v>0</v>
      </c>
      <c r="BE74" s="57">
        <f t="shared" si="11"/>
        <v>0</v>
      </c>
      <c r="BF74" s="57">
        <f t="shared" si="11"/>
        <v>0</v>
      </c>
      <c r="BG74" s="57">
        <f t="shared" si="11"/>
        <v>0</v>
      </c>
      <c r="BH74" s="57">
        <f t="shared" si="11"/>
        <v>0</v>
      </c>
      <c r="BI74" s="57">
        <f t="shared" si="11"/>
        <v>0</v>
      </c>
      <c r="BJ74" s="57">
        <f t="shared" si="11"/>
        <v>0</v>
      </c>
      <c r="BK74" s="57">
        <f t="shared" si="11"/>
        <v>0</v>
      </c>
      <c r="BL74" s="57">
        <f t="shared" si="11"/>
        <v>0</v>
      </c>
      <c r="BM74" s="57">
        <f t="shared" si="11"/>
        <v>0</v>
      </c>
      <c r="BN74" s="57">
        <f t="shared" si="11"/>
        <v>1</v>
      </c>
      <c r="BO74" s="57">
        <f t="shared" si="11"/>
        <v>0</v>
      </c>
      <c r="BP74" s="66">
        <f t="shared" si="11"/>
        <v>0</v>
      </c>
      <c r="BQ74" s="57"/>
    </row>
    <row r="75" spans="10:69" s="56" customFormat="1" ht="16" hidden="1">
      <c r="J75" s="58"/>
      <c r="K75" s="58"/>
      <c r="AK75" s="65" t="s">
        <v>40</v>
      </c>
      <c r="AL75" s="57">
        <f t="shared" ref="AL75:BO75" si="12">COUNTIF(AL21:AL34,"*A*")</f>
        <v>1</v>
      </c>
      <c r="AM75" s="57">
        <f t="shared" si="12"/>
        <v>1</v>
      </c>
      <c r="AN75" s="57">
        <f t="shared" si="12"/>
        <v>1</v>
      </c>
      <c r="AO75" s="57">
        <f t="shared" si="12"/>
        <v>1</v>
      </c>
      <c r="AP75" s="57">
        <f t="shared" si="12"/>
        <v>1</v>
      </c>
      <c r="AQ75" s="57">
        <f t="shared" si="12"/>
        <v>1</v>
      </c>
      <c r="AR75" s="57">
        <f t="shared" si="12"/>
        <v>0</v>
      </c>
      <c r="AS75" s="57">
        <f t="shared" si="12"/>
        <v>0</v>
      </c>
      <c r="AT75" s="57">
        <f t="shared" si="12"/>
        <v>0</v>
      </c>
      <c r="AU75" s="57">
        <f t="shared" si="12"/>
        <v>0</v>
      </c>
      <c r="AV75" s="57">
        <f t="shared" si="12"/>
        <v>0</v>
      </c>
      <c r="AW75" s="57">
        <f t="shared" si="12"/>
        <v>1</v>
      </c>
      <c r="AX75" s="57">
        <f t="shared" si="12"/>
        <v>1</v>
      </c>
      <c r="AY75" s="57">
        <f t="shared" si="12"/>
        <v>1</v>
      </c>
      <c r="AZ75" s="57">
        <f t="shared" si="12"/>
        <v>1</v>
      </c>
      <c r="BA75" s="57">
        <f t="shared" si="12"/>
        <v>1</v>
      </c>
      <c r="BB75" s="57">
        <f t="shared" si="12"/>
        <v>3</v>
      </c>
      <c r="BC75" s="57">
        <f t="shared" si="12"/>
        <v>3</v>
      </c>
      <c r="BD75" s="57">
        <f t="shared" si="12"/>
        <v>2</v>
      </c>
      <c r="BE75" s="57">
        <f t="shared" si="12"/>
        <v>1</v>
      </c>
      <c r="BF75" s="57">
        <f t="shared" si="12"/>
        <v>1</v>
      </c>
      <c r="BG75" s="57">
        <f t="shared" si="12"/>
        <v>0</v>
      </c>
      <c r="BH75" s="57">
        <f t="shared" si="12"/>
        <v>0</v>
      </c>
      <c r="BI75" s="57">
        <f t="shared" si="12"/>
        <v>1</v>
      </c>
      <c r="BJ75" s="57">
        <f t="shared" si="12"/>
        <v>1</v>
      </c>
      <c r="BK75" s="57">
        <f t="shared" si="12"/>
        <v>1</v>
      </c>
      <c r="BL75" s="57">
        <f t="shared" si="12"/>
        <v>2</v>
      </c>
      <c r="BM75" s="57">
        <f t="shared" si="12"/>
        <v>3</v>
      </c>
      <c r="BN75" s="57">
        <f t="shared" si="12"/>
        <v>0</v>
      </c>
      <c r="BO75" s="57">
        <f t="shared" si="12"/>
        <v>0</v>
      </c>
      <c r="BP75" s="66"/>
      <c r="BQ75" s="57"/>
    </row>
    <row r="76" spans="10:69" s="56" customFormat="1" ht="16" hidden="1">
      <c r="AK76" s="65" t="s">
        <v>41</v>
      </c>
      <c r="AL76" s="57">
        <f t="shared" ref="AL76:BO76" si="13">COUNTIF(AL21:AL34,"*P*")+COUNTIF(AL21:AL34,"*E*")</f>
        <v>0</v>
      </c>
      <c r="AM76" s="57">
        <f t="shared" si="13"/>
        <v>0</v>
      </c>
      <c r="AN76" s="57">
        <f t="shared" si="13"/>
        <v>1</v>
      </c>
      <c r="AO76" s="57">
        <f t="shared" si="13"/>
        <v>0</v>
      </c>
      <c r="AP76" s="57">
        <f t="shared" si="13"/>
        <v>0</v>
      </c>
      <c r="AQ76" s="57">
        <f t="shared" si="13"/>
        <v>0</v>
      </c>
      <c r="AR76" s="57">
        <f t="shared" si="13"/>
        <v>0</v>
      </c>
      <c r="AS76" s="57">
        <f t="shared" si="13"/>
        <v>0</v>
      </c>
      <c r="AT76" s="57">
        <f t="shared" si="13"/>
        <v>0</v>
      </c>
      <c r="AU76" s="57">
        <f t="shared" si="13"/>
        <v>0</v>
      </c>
      <c r="AV76" s="57">
        <f t="shared" si="13"/>
        <v>0</v>
      </c>
      <c r="AW76" s="57">
        <f t="shared" si="13"/>
        <v>0</v>
      </c>
      <c r="AX76" s="57">
        <f t="shared" si="13"/>
        <v>0</v>
      </c>
      <c r="AY76" s="57">
        <f t="shared" si="13"/>
        <v>0</v>
      </c>
      <c r="AZ76" s="57">
        <f t="shared" si="13"/>
        <v>0</v>
      </c>
      <c r="BA76" s="57">
        <f t="shared" si="13"/>
        <v>0</v>
      </c>
      <c r="BB76" s="57">
        <f t="shared" si="13"/>
        <v>0</v>
      </c>
      <c r="BC76" s="57">
        <f t="shared" si="13"/>
        <v>0</v>
      </c>
      <c r="BD76" s="57">
        <f t="shared" si="13"/>
        <v>0</v>
      </c>
      <c r="BE76" s="57">
        <f t="shared" si="13"/>
        <v>0</v>
      </c>
      <c r="BF76" s="57">
        <f t="shared" si="13"/>
        <v>0</v>
      </c>
      <c r="BG76" s="57">
        <f t="shared" si="13"/>
        <v>0</v>
      </c>
      <c r="BH76" s="57">
        <f t="shared" si="13"/>
        <v>0</v>
      </c>
      <c r="BI76" s="57">
        <f t="shared" si="13"/>
        <v>1</v>
      </c>
      <c r="BJ76" s="57">
        <f t="shared" si="13"/>
        <v>0</v>
      </c>
      <c r="BK76" s="57">
        <f t="shared" si="13"/>
        <v>0</v>
      </c>
      <c r="BL76" s="57">
        <f t="shared" si="13"/>
        <v>0</v>
      </c>
      <c r="BM76" s="57">
        <f t="shared" si="13"/>
        <v>0</v>
      </c>
      <c r="BN76" s="57">
        <f t="shared" si="13"/>
        <v>0</v>
      </c>
      <c r="BO76" s="57">
        <f t="shared" si="13"/>
        <v>1</v>
      </c>
      <c r="BP76" s="66"/>
      <c r="BQ76" s="57"/>
    </row>
    <row r="77" spans="10:69" s="56" customFormat="1" ht="16" hidden="1">
      <c r="AK77" s="65" t="s">
        <v>101</v>
      </c>
      <c r="AL77" s="57">
        <f>COUNTIF(AL10:AL19,"*A*")</f>
        <v>0</v>
      </c>
      <c r="AM77" s="57">
        <f t="shared" ref="AM77:BP77" si="14">COUNTIF(AM10:AM19,"*A*")</f>
        <v>0</v>
      </c>
      <c r="AN77" s="57">
        <f t="shared" si="14"/>
        <v>3</v>
      </c>
      <c r="AO77" s="57">
        <f t="shared" si="14"/>
        <v>3</v>
      </c>
      <c r="AP77" s="57">
        <f t="shared" si="14"/>
        <v>3</v>
      </c>
      <c r="AQ77" s="57">
        <f t="shared" si="14"/>
        <v>3</v>
      </c>
      <c r="AR77" s="57">
        <f t="shared" si="14"/>
        <v>4</v>
      </c>
      <c r="AS77" s="57">
        <f t="shared" si="14"/>
        <v>0</v>
      </c>
      <c r="AT77" s="57">
        <f t="shared" si="14"/>
        <v>0</v>
      </c>
      <c r="AU77" s="57">
        <f t="shared" si="14"/>
        <v>2</v>
      </c>
      <c r="AV77" s="57">
        <f t="shared" si="14"/>
        <v>2</v>
      </c>
      <c r="AW77" s="57">
        <f t="shared" si="14"/>
        <v>1</v>
      </c>
      <c r="AX77" s="57">
        <f t="shared" si="14"/>
        <v>3</v>
      </c>
      <c r="AY77" s="57">
        <f t="shared" si="14"/>
        <v>1</v>
      </c>
      <c r="AZ77" s="57">
        <f t="shared" si="14"/>
        <v>0</v>
      </c>
      <c r="BA77" s="57">
        <f t="shared" si="14"/>
        <v>0</v>
      </c>
      <c r="BB77" s="57">
        <f t="shared" si="14"/>
        <v>0</v>
      </c>
      <c r="BC77" s="57">
        <f t="shared" si="14"/>
        <v>1</v>
      </c>
      <c r="BD77" s="57">
        <f t="shared" si="14"/>
        <v>0</v>
      </c>
      <c r="BE77" s="57">
        <f t="shared" si="14"/>
        <v>1</v>
      </c>
      <c r="BF77" s="57">
        <f t="shared" si="14"/>
        <v>0</v>
      </c>
      <c r="BG77" s="57">
        <f t="shared" si="14"/>
        <v>0</v>
      </c>
      <c r="BH77" s="57">
        <f t="shared" si="14"/>
        <v>0</v>
      </c>
      <c r="BI77" s="57">
        <f t="shared" si="14"/>
        <v>1</v>
      </c>
      <c r="BJ77" s="57">
        <f t="shared" si="14"/>
        <v>1</v>
      </c>
      <c r="BK77" s="57">
        <f t="shared" si="14"/>
        <v>0</v>
      </c>
      <c r="BL77" s="57">
        <f t="shared" si="14"/>
        <v>1</v>
      </c>
      <c r="BM77" s="57">
        <f t="shared" si="14"/>
        <v>0</v>
      </c>
      <c r="BN77" s="57">
        <f t="shared" si="14"/>
        <v>0</v>
      </c>
      <c r="BO77" s="57">
        <f t="shared" si="14"/>
        <v>1</v>
      </c>
      <c r="BP77" s="66">
        <f t="shared" si="14"/>
        <v>0</v>
      </c>
      <c r="BQ77" s="57"/>
    </row>
    <row r="78" spans="10:69" s="56" customFormat="1" ht="17" hidden="1" thickBot="1">
      <c r="AK78" s="67" t="s">
        <v>102</v>
      </c>
      <c r="AL78" s="68">
        <f>COUNTIF(AL10:AL19,"*P*")+COUNTIF(AL10:AL19,"*E*")</f>
        <v>0</v>
      </c>
      <c r="AM78" s="68">
        <f t="shared" ref="AM78:BP78" si="15">COUNTIF(AM10:AM19,"*P*")+COUNTIF(AM10:AM19,"*E*")</f>
        <v>0</v>
      </c>
      <c r="AN78" s="68">
        <f t="shared" si="15"/>
        <v>0</v>
      </c>
      <c r="AO78" s="68">
        <f t="shared" si="15"/>
        <v>0</v>
      </c>
      <c r="AP78" s="68">
        <f t="shared" si="15"/>
        <v>0</v>
      </c>
      <c r="AQ78" s="68">
        <f t="shared" si="15"/>
        <v>0</v>
      </c>
      <c r="AR78" s="68">
        <f t="shared" si="15"/>
        <v>0</v>
      </c>
      <c r="AS78" s="68">
        <f t="shared" si="15"/>
        <v>0</v>
      </c>
      <c r="AT78" s="68">
        <f t="shared" si="15"/>
        <v>2</v>
      </c>
      <c r="AU78" s="68">
        <f t="shared" si="15"/>
        <v>0</v>
      </c>
      <c r="AV78" s="68">
        <f t="shared" si="15"/>
        <v>0</v>
      </c>
      <c r="AW78" s="68">
        <f t="shared" si="15"/>
        <v>0</v>
      </c>
      <c r="AX78" s="68">
        <f t="shared" si="15"/>
        <v>1</v>
      </c>
      <c r="AY78" s="68">
        <f t="shared" si="15"/>
        <v>0</v>
      </c>
      <c r="AZ78" s="68">
        <f t="shared" si="15"/>
        <v>0</v>
      </c>
      <c r="BA78" s="68">
        <f t="shared" si="15"/>
        <v>0</v>
      </c>
      <c r="BB78" s="68">
        <f t="shared" si="15"/>
        <v>0</v>
      </c>
      <c r="BC78" s="68">
        <f t="shared" si="15"/>
        <v>0</v>
      </c>
      <c r="BD78" s="68">
        <f t="shared" si="15"/>
        <v>0</v>
      </c>
      <c r="BE78" s="68">
        <f t="shared" si="15"/>
        <v>0</v>
      </c>
      <c r="BF78" s="68">
        <f t="shared" si="15"/>
        <v>0</v>
      </c>
      <c r="BG78" s="68">
        <f t="shared" si="15"/>
        <v>0</v>
      </c>
      <c r="BH78" s="68">
        <f t="shared" si="15"/>
        <v>0</v>
      </c>
      <c r="BI78" s="68">
        <f t="shared" si="15"/>
        <v>0</v>
      </c>
      <c r="BJ78" s="68">
        <f t="shared" si="15"/>
        <v>0</v>
      </c>
      <c r="BK78" s="68">
        <f t="shared" si="15"/>
        <v>0</v>
      </c>
      <c r="BL78" s="68">
        <f t="shared" si="15"/>
        <v>0</v>
      </c>
      <c r="BM78" s="68">
        <f t="shared" si="15"/>
        <v>0</v>
      </c>
      <c r="BN78" s="68">
        <f t="shared" si="15"/>
        <v>1</v>
      </c>
      <c r="BO78" s="68">
        <f t="shared" si="15"/>
        <v>0</v>
      </c>
      <c r="BP78" s="69">
        <f t="shared" si="15"/>
        <v>0</v>
      </c>
      <c r="BQ78" s="57"/>
    </row>
    <row r="79" spans="10:69">
      <c r="AK79" s="65" t="s">
        <v>103</v>
      </c>
      <c r="AL79" s="57">
        <f>COUNTIF(AL20:AL23,"*A*")-COUNTIF(AL20:AL23,"*AL*")</f>
        <v>1</v>
      </c>
      <c r="AM79" s="57">
        <f t="shared" ref="AM79:BP79" si="16">COUNTIF(AM20:AM23,"*A*")-COUNTIF(AM20:AM23,"*AL*")</f>
        <v>0</v>
      </c>
      <c r="AN79" s="57">
        <f t="shared" si="16"/>
        <v>0</v>
      </c>
      <c r="AO79" s="57">
        <f t="shared" si="16"/>
        <v>0</v>
      </c>
      <c r="AP79" s="57">
        <f t="shared" si="16"/>
        <v>0</v>
      </c>
      <c r="AQ79" s="57">
        <f t="shared" si="16"/>
        <v>0</v>
      </c>
      <c r="AR79" s="57">
        <f t="shared" si="16"/>
        <v>0</v>
      </c>
      <c r="AS79" s="57">
        <f t="shared" si="16"/>
        <v>0</v>
      </c>
      <c r="AT79" s="57">
        <f t="shared" si="16"/>
        <v>0</v>
      </c>
      <c r="AU79" s="57">
        <f t="shared" si="16"/>
        <v>0</v>
      </c>
      <c r="AV79" s="57">
        <f t="shared" si="16"/>
        <v>0</v>
      </c>
      <c r="AW79" s="57">
        <f t="shared" si="16"/>
        <v>0</v>
      </c>
      <c r="AX79" s="57">
        <f t="shared" si="16"/>
        <v>0</v>
      </c>
      <c r="AY79" s="57">
        <f t="shared" si="16"/>
        <v>0</v>
      </c>
      <c r="AZ79" s="57">
        <f t="shared" si="16"/>
        <v>0</v>
      </c>
      <c r="BA79" s="57">
        <f t="shared" si="16"/>
        <v>0</v>
      </c>
      <c r="BB79" s="57">
        <f t="shared" si="16"/>
        <v>0</v>
      </c>
      <c r="BC79" s="57">
        <f t="shared" si="16"/>
        <v>0</v>
      </c>
      <c r="BD79" s="57">
        <f t="shared" si="16"/>
        <v>0</v>
      </c>
      <c r="BE79" s="57">
        <f t="shared" si="16"/>
        <v>0</v>
      </c>
      <c r="BF79" s="57">
        <f t="shared" si="16"/>
        <v>0</v>
      </c>
      <c r="BG79" s="57">
        <f t="shared" si="16"/>
        <v>0</v>
      </c>
      <c r="BH79" s="57">
        <f t="shared" si="16"/>
        <v>0</v>
      </c>
      <c r="BI79" s="57">
        <f t="shared" si="16"/>
        <v>0</v>
      </c>
      <c r="BJ79" s="57">
        <f t="shared" si="16"/>
        <v>0</v>
      </c>
      <c r="BK79" s="57">
        <f t="shared" si="16"/>
        <v>0</v>
      </c>
      <c r="BL79" s="57">
        <f t="shared" si="16"/>
        <v>0</v>
      </c>
      <c r="BM79" s="57">
        <f t="shared" si="16"/>
        <v>0</v>
      </c>
      <c r="BN79" s="57">
        <f t="shared" si="16"/>
        <v>0</v>
      </c>
      <c r="BO79" s="57">
        <f t="shared" si="16"/>
        <v>1</v>
      </c>
      <c r="BP79" s="57">
        <f t="shared" si="16"/>
        <v>0</v>
      </c>
      <c r="BQ79" s="57"/>
    </row>
    <row r="80" spans="10:69">
      <c r="AK80" s="65" t="s">
        <v>104</v>
      </c>
      <c r="AL80" s="57">
        <f t="shared" ref="AL80:BP80" si="17">COUNTIF(AL20:AL23,"*P*")+COUNTIF(AL20:AL23,"*E*")</f>
        <v>0</v>
      </c>
      <c r="AM80" s="57">
        <f t="shared" si="17"/>
        <v>0</v>
      </c>
      <c r="AN80" s="57">
        <f t="shared" si="17"/>
        <v>0</v>
      </c>
      <c r="AO80" s="57">
        <f t="shared" si="17"/>
        <v>0</v>
      </c>
      <c r="AP80" s="57">
        <f t="shared" si="17"/>
        <v>0</v>
      </c>
      <c r="AQ80" s="57">
        <f t="shared" si="17"/>
        <v>0</v>
      </c>
      <c r="AR80" s="57">
        <f t="shared" si="17"/>
        <v>0</v>
      </c>
      <c r="AS80" s="57">
        <f t="shared" si="17"/>
        <v>0</v>
      </c>
      <c r="AT80" s="57">
        <f t="shared" si="17"/>
        <v>0</v>
      </c>
      <c r="AU80" s="57">
        <f t="shared" si="17"/>
        <v>0</v>
      </c>
      <c r="AV80" s="57">
        <f t="shared" si="17"/>
        <v>0</v>
      </c>
      <c r="AW80" s="57">
        <f t="shared" si="17"/>
        <v>0</v>
      </c>
      <c r="AX80" s="57">
        <f t="shared" si="17"/>
        <v>0</v>
      </c>
      <c r="AY80" s="57">
        <f t="shared" si="17"/>
        <v>0</v>
      </c>
      <c r="AZ80" s="57">
        <f t="shared" si="17"/>
        <v>0</v>
      </c>
      <c r="BA80" s="57">
        <f t="shared" si="17"/>
        <v>0</v>
      </c>
      <c r="BB80" s="57">
        <f t="shared" si="17"/>
        <v>0</v>
      </c>
      <c r="BC80" s="57">
        <f t="shared" si="17"/>
        <v>0</v>
      </c>
      <c r="BD80" s="57">
        <f t="shared" si="17"/>
        <v>0</v>
      </c>
      <c r="BE80" s="57">
        <f t="shared" si="17"/>
        <v>0</v>
      </c>
      <c r="BF80" s="57">
        <f t="shared" si="17"/>
        <v>0</v>
      </c>
      <c r="BG80" s="57">
        <f t="shared" si="17"/>
        <v>0</v>
      </c>
      <c r="BH80" s="57">
        <f t="shared" si="17"/>
        <v>0</v>
      </c>
      <c r="BI80" s="57">
        <f t="shared" si="17"/>
        <v>0</v>
      </c>
      <c r="BJ80" s="57">
        <f t="shared" si="17"/>
        <v>0</v>
      </c>
      <c r="BK80" s="57">
        <f t="shared" si="17"/>
        <v>0</v>
      </c>
      <c r="BL80" s="57">
        <f t="shared" si="17"/>
        <v>0</v>
      </c>
      <c r="BM80" s="57">
        <f t="shared" si="17"/>
        <v>0</v>
      </c>
      <c r="BN80" s="57">
        <f t="shared" si="17"/>
        <v>0</v>
      </c>
      <c r="BO80" s="57">
        <f t="shared" si="17"/>
        <v>0</v>
      </c>
      <c r="BP80" s="66">
        <f t="shared" si="17"/>
        <v>0</v>
      </c>
      <c r="BQ80" s="57"/>
    </row>
    <row r="81" spans="10:69">
      <c r="AK81" s="65" t="s">
        <v>105</v>
      </c>
      <c r="AL81" s="57">
        <f>COUNTIF(AL24:AL31,"*A*")-COUNTIF(AL24:AL31,"*AL*")</f>
        <v>1</v>
      </c>
      <c r="AM81" s="57">
        <f t="shared" ref="AM81:BP81" si="18">COUNTIF(AM24:AM31,"*A*")-COUNTIF(AM24:AM31,"*AL*")</f>
        <v>0</v>
      </c>
      <c r="AN81" s="57">
        <f t="shared" si="18"/>
        <v>0</v>
      </c>
      <c r="AO81" s="57">
        <f t="shared" si="18"/>
        <v>0</v>
      </c>
      <c r="AP81" s="57">
        <f t="shared" si="18"/>
        <v>0</v>
      </c>
      <c r="AQ81" s="57">
        <f t="shared" si="18"/>
        <v>0</v>
      </c>
      <c r="AR81" s="57">
        <f t="shared" si="18"/>
        <v>0</v>
      </c>
      <c r="AS81" s="57">
        <f t="shared" si="18"/>
        <v>0</v>
      </c>
      <c r="AT81" s="57">
        <f t="shared" si="18"/>
        <v>0</v>
      </c>
      <c r="AU81" s="57">
        <f t="shared" si="18"/>
        <v>0</v>
      </c>
      <c r="AV81" s="57">
        <f t="shared" si="18"/>
        <v>0</v>
      </c>
      <c r="AW81" s="57">
        <f t="shared" si="18"/>
        <v>0</v>
      </c>
      <c r="AX81" s="57">
        <f t="shared" si="18"/>
        <v>0</v>
      </c>
      <c r="AY81" s="57">
        <f t="shared" si="18"/>
        <v>0</v>
      </c>
      <c r="AZ81" s="57">
        <f t="shared" si="18"/>
        <v>1</v>
      </c>
      <c r="BA81" s="57">
        <f t="shared" si="18"/>
        <v>0</v>
      </c>
      <c r="BB81" s="57">
        <f t="shared" si="18"/>
        <v>1</v>
      </c>
      <c r="BC81" s="57">
        <f t="shared" si="18"/>
        <v>1</v>
      </c>
      <c r="BD81" s="57">
        <f t="shared" si="18"/>
        <v>0</v>
      </c>
      <c r="BE81" s="57">
        <f t="shared" si="18"/>
        <v>0</v>
      </c>
      <c r="BF81" s="57">
        <f t="shared" si="18"/>
        <v>0</v>
      </c>
      <c r="BG81" s="57">
        <f t="shared" si="18"/>
        <v>0</v>
      </c>
      <c r="BH81" s="57">
        <f t="shared" si="18"/>
        <v>0</v>
      </c>
      <c r="BI81" s="57">
        <f t="shared" si="18"/>
        <v>0</v>
      </c>
      <c r="BJ81" s="57">
        <f t="shared" si="18"/>
        <v>0</v>
      </c>
      <c r="BK81" s="57">
        <f t="shared" si="18"/>
        <v>0</v>
      </c>
      <c r="BL81" s="57">
        <f t="shared" si="18"/>
        <v>0</v>
      </c>
      <c r="BM81" s="57">
        <f t="shared" si="18"/>
        <v>0</v>
      </c>
      <c r="BN81" s="57">
        <f t="shared" si="18"/>
        <v>0</v>
      </c>
      <c r="BO81" s="57">
        <f t="shared" si="18"/>
        <v>0</v>
      </c>
      <c r="BP81" s="57">
        <f t="shared" si="18"/>
        <v>0</v>
      </c>
      <c r="BQ81" s="57"/>
    </row>
    <row r="82" spans="10:69">
      <c r="AK82" s="65" t="s">
        <v>106</v>
      </c>
      <c r="AL82" s="57">
        <f>COUNTIF(AL24:AL31,"*P*")+COUNTIF(AL24:AL31,"*E*")</f>
        <v>0</v>
      </c>
      <c r="AM82" s="57">
        <f t="shared" ref="AM82:BP82" si="19">COUNTIF(AM24:AM31,"*P*")+COUNTIF(AM24:AM31,"*E*")</f>
        <v>0</v>
      </c>
      <c r="AN82" s="57">
        <f t="shared" si="19"/>
        <v>0</v>
      </c>
      <c r="AO82" s="57">
        <f t="shared" si="19"/>
        <v>0</v>
      </c>
      <c r="AP82" s="57">
        <f t="shared" si="19"/>
        <v>0</v>
      </c>
      <c r="AQ82" s="57">
        <f t="shared" si="19"/>
        <v>0</v>
      </c>
      <c r="AR82" s="57">
        <f t="shared" si="19"/>
        <v>0</v>
      </c>
      <c r="AS82" s="57">
        <f t="shared" si="19"/>
        <v>0</v>
      </c>
      <c r="AT82" s="57">
        <f t="shared" si="19"/>
        <v>0</v>
      </c>
      <c r="AU82" s="57">
        <f t="shared" si="19"/>
        <v>0</v>
      </c>
      <c r="AV82" s="57">
        <f t="shared" si="19"/>
        <v>0</v>
      </c>
      <c r="AW82" s="57">
        <f t="shared" si="19"/>
        <v>0</v>
      </c>
      <c r="AX82" s="57">
        <f t="shared" si="19"/>
        <v>0</v>
      </c>
      <c r="AY82" s="57">
        <f t="shared" si="19"/>
        <v>0</v>
      </c>
      <c r="AZ82" s="57">
        <f t="shared" si="19"/>
        <v>0</v>
      </c>
      <c r="BA82" s="57">
        <f t="shared" si="19"/>
        <v>0</v>
      </c>
      <c r="BB82" s="57">
        <f t="shared" si="19"/>
        <v>0</v>
      </c>
      <c r="BC82" s="57">
        <f t="shared" si="19"/>
        <v>0</v>
      </c>
      <c r="BD82" s="57">
        <f t="shared" si="19"/>
        <v>0</v>
      </c>
      <c r="BE82" s="57">
        <f t="shared" si="19"/>
        <v>0</v>
      </c>
      <c r="BF82" s="57">
        <f t="shared" si="19"/>
        <v>0</v>
      </c>
      <c r="BG82" s="57">
        <f t="shared" si="19"/>
        <v>0</v>
      </c>
      <c r="BH82" s="57">
        <f t="shared" si="19"/>
        <v>0</v>
      </c>
      <c r="BI82" s="57">
        <f t="shared" si="19"/>
        <v>1</v>
      </c>
      <c r="BJ82" s="57">
        <f t="shared" si="19"/>
        <v>0</v>
      </c>
      <c r="BK82" s="57">
        <f t="shared" si="19"/>
        <v>0</v>
      </c>
      <c r="BL82" s="57">
        <f t="shared" si="19"/>
        <v>0</v>
      </c>
      <c r="BM82" s="57">
        <f t="shared" si="19"/>
        <v>0</v>
      </c>
      <c r="BN82" s="57">
        <f t="shared" si="19"/>
        <v>0</v>
      </c>
      <c r="BO82" s="57">
        <f t="shared" si="19"/>
        <v>1</v>
      </c>
      <c r="BP82" s="66">
        <f t="shared" si="19"/>
        <v>0</v>
      </c>
      <c r="BQ82" s="57"/>
    </row>
    <row r="83" spans="10:69">
      <c r="AK83" s="65" t="s">
        <v>110</v>
      </c>
      <c r="AL83" s="57">
        <f>AL79+AL81</f>
        <v>2</v>
      </c>
      <c r="AM83" s="57">
        <f t="shared" ref="AM83:BP83" si="20">AM79+AM81</f>
        <v>0</v>
      </c>
      <c r="AN83" s="57">
        <f t="shared" si="20"/>
        <v>0</v>
      </c>
      <c r="AO83" s="57">
        <f t="shared" si="20"/>
        <v>0</v>
      </c>
      <c r="AP83" s="57">
        <f t="shared" si="20"/>
        <v>0</v>
      </c>
      <c r="AQ83" s="57">
        <f t="shared" si="20"/>
        <v>0</v>
      </c>
      <c r="AR83" s="57">
        <f t="shared" si="20"/>
        <v>0</v>
      </c>
      <c r="AS83" s="57">
        <f t="shared" si="20"/>
        <v>0</v>
      </c>
      <c r="AT83" s="57">
        <f t="shared" si="20"/>
        <v>0</v>
      </c>
      <c r="AU83" s="57">
        <f t="shared" si="20"/>
        <v>0</v>
      </c>
      <c r="AV83" s="57">
        <f t="shared" si="20"/>
        <v>0</v>
      </c>
      <c r="AW83" s="57">
        <f t="shared" si="20"/>
        <v>0</v>
      </c>
      <c r="AX83" s="57">
        <f t="shared" si="20"/>
        <v>0</v>
      </c>
      <c r="AY83" s="57">
        <f t="shared" si="20"/>
        <v>0</v>
      </c>
      <c r="AZ83" s="57">
        <f t="shared" si="20"/>
        <v>1</v>
      </c>
      <c r="BA83" s="57">
        <f t="shared" si="20"/>
        <v>0</v>
      </c>
      <c r="BB83" s="57">
        <f t="shared" si="20"/>
        <v>1</v>
      </c>
      <c r="BC83" s="57">
        <f t="shared" si="20"/>
        <v>1</v>
      </c>
      <c r="BD83" s="57">
        <f t="shared" si="20"/>
        <v>0</v>
      </c>
      <c r="BE83" s="57">
        <f t="shared" si="20"/>
        <v>0</v>
      </c>
      <c r="BF83" s="57">
        <f t="shared" si="20"/>
        <v>0</v>
      </c>
      <c r="BG83" s="57">
        <f t="shared" si="20"/>
        <v>0</v>
      </c>
      <c r="BH83" s="57">
        <f t="shared" si="20"/>
        <v>0</v>
      </c>
      <c r="BI83" s="57">
        <f t="shared" si="20"/>
        <v>0</v>
      </c>
      <c r="BJ83" s="57">
        <f t="shared" si="20"/>
        <v>0</v>
      </c>
      <c r="BK83" s="57">
        <f t="shared" si="20"/>
        <v>0</v>
      </c>
      <c r="BL83" s="57">
        <f t="shared" si="20"/>
        <v>0</v>
      </c>
      <c r="BM83" s="57">
        <f t="shared" si="20"/>
        <v>0</v>
      </c>
      <c r="BN83" s="57">
        <f t="shared" si="20"/>
        <v>0</v>
      </c>
      <c r="BO83" s="57">
        <f t="shared" si="20"/>
        <v>1</v>
      </c>
      <c r="BP83" s="66">
        <f t="shared" si="20"/>
        <v>0</v>
      </c>
      <c r="BQ83" s="57"/>
    </row>
    <row r="84" spans="10:69" ht="19" thickBot="1">
      <c r="AK84" s="67" t="s">
        <v>111</v>
      </c>
      <c r="AL84" s="68">
        <f>AL80+AL82</f>
        <v>0</v>
      </c>
      <c r="AM84" s="68">
        <f t="shared" ref="AM84:BP84" si="21">AM80+AM82</f>
        <v>0</v>
      </c>
      <c r="AN84" s="68">
        <f t="shared" si="21"/>
        <v>0</v>
      </c>
      <c r="AO84" s="68">
        <f t="shared" si="21"/>
        <v>0</v>
      </c>
      <c r="AP84" s="68">
        <f t="shared" si="21"/>
        <v>0</v>
      </c>
      <c r="AQ84" s="68">
        <f t="shared" si="21"/>
        <v>0</v>
      </c>
      <c r="AR84" s="68">
        <f t="shared" si="21"/>
        <v>0</v>
      </c>
      <c r="AS84" s="68">
        <f t="shared" si="21"/>
        <v>0</v>
      </c>
      <c r="AT84" s="68">
        <f t="shared" si="21"/>
        <v>0</v>
      </c>
      <c r="AU84" s="68">
        <f t="shared" si="21"/>
        <v>0</v>
      </c>
      <c r="AV84" s="68">
        <f t="shared" si="21"/>
        <v>0</v>
      </c>
      <c r="AW84" s="68">
        <f t="shared" si="21"/>
        <v>0</v>
      </c>
      <c r="AX84" s="68">
        <f t="shared" si="21"/>
        <v>0</v>
      </c>
      <c r="AY84" s="68">
        <f t="shared" si="21"/>
        <v>0</v>
      </c>
      <c r="AZ84" s="68">
        <f t="shared" si="21"/>
        <v>0</v>
      </c>
      <c r="BA84" s="68">
        <f t="shared" si="21"/>
        <v>0</v>
      </c>
      <c r="BB84" s="68">
        <f t="shared" si="21"/>
        <v>0</v>
      </c>
      <c r="BC84" s="68">
        <f t="shared" si="21"/>
        <v>0</v>
      </c>
      <c r="BD84" s="68">
        <f t="shared" si="21"/>
        <v>0</v>
      </c>
      <c r="BE84" s="68">
        <f t="shared" si="21"/>
        <v>0</v>
      </c>
      <c r="BF84" s="68">
        <f t="shared" si="21"/>
        <v>0</v>
      </c>
      <c r="BG84" s="68">
        <f t="shared" si="21"/>
        <v>0</v>
      </c>
      <c r="BH84" s="68">
        <f t="shared" si="21"/>
        <v>0</v>
      </c>
      <c r="BI84" s="68">
        <f t="shared" si="21"/>
        <v>1</v>
      </c>
      <c r="BJ84" s="68">
        <f t="shared" si="21"/>
        <v>0</v>
      </c>
      <c r="BK84" s="68">
        <f t="shared" si="21"/>
        <v>0</v>
      </c>
      <c r="BL84" s="68">
        <f t="shared" si="21"/>
        <v>0</v>
      </c>
      <c r="BM84" s="68">
        <f t="shared" si="21"/>
        <v>0</v>
      </c>
      <c r="BN84" s="68">
        <f t="shared" si="21"/>
        <v>0</v>
      </c>
      <c r="BO84" s="68">
        <f t="shared" si="21"/>
        <v>1</v>
      </c>
      <c r="BP84" s="69">
        <f t="shared" si="21"/>
        <v>0</v>
      </c>
      <c r="BQ84" s="57"/>
    </row>
    <row r="85" spans="10:69">
      <c r="AK85" s="65" t="s">
        <v>107</v>
      </c>
      <c r="AL85" s="57">
        <f>COUNTIF(AL32:AL34,"*A*")-COUNTIF(AL32:AL34,"*AL*")</f>
        <v>0</v>
      </c>
      <c r="AM85" s="57">
        <f t="shared" ref="AM85:BP85" si="22">COUNTIF(AM32:AM34,"*A*")-COUNTIF(AM32:AM34,"*AL*")</f>
        <v>0</v>
      </c>
      <c r="AN85" s="57">
        <f t="shared" si="22"/>
        <v>0</v>
      </c>
      <c r="AO85" s="57">
        <f t="shared" si="22"/>
        <v>0</v>
      </c>
      <c r="AP85" s="57">
        <f t="shared" si="22"/>
        <v>0</v>
      </c>
      <c r="AQ85" s="57">
        <f t="shared" si="22"/>
        <v>0</v>
      </c>
      <c r="AR85" s="57">
        <f t="shared" si="22"/>
        <v>0</v>
      </c>
      <c r="AS85" s="57">
        <f t="shared" si="22"/>
        <v>0</v>
      </c>
      <c r="AT85" s="57">
        <f t="shared" si="22"/>
        <v>0</v>
      </c>
      <c r="AU85" s="57">
        <f t="shared" si="22"/>
        <v>0</v>
      </c>
      <c r="AV85" s="57">
        <f t="shared" si="22"/>
        <v>0</v>
      </c>
      <c r="AW85" s="57">
        <f t="shared" si="22"/>
        <v>1</v>
      </c>
      <c r="AX85" s="57">
        <f t="shared" si="22"/>
        <v>1</v>
      </c>
      <c r="AY85" s="57">
        <f t="shared" si="22"/>
        <v>0</v>
      </c>
      <c r="AZ85" s="57">
        <f t="shared" si="22"/>
        <v>0</v>
      </c>
      <c r="BA85" s="57">
        <f t="shared" si="22"/>
        <v>1</v>
      </c>
      <c r="BB85" s="57">
        <f t="shared" si="22"/>
        <v>0</v>
      </c>
      <c r="BC85" s="57">
        <f t="shared" si="22"/>
        <v>0</v>
      </c>
      <c r="BD85" s="57">
        <f t="shared" si="22"/>
        <v>0</v>
      </c>
      <c r="BE85" s="57">
        <f t="shared" si="22"/>
        <v>0</v>
      </c>
      <c r="BF85" s="57">
        <f t="shared" si="22"/>
        <v>0</v>
      </c>
      <c r="BG85" s="57">
        <f t="shared" si="22"/>
        <v>0</v>
      </c>
      <c r="BH85" s="57">
        <f t="shared" si="22"/>
        <v>0</v>
      </c>
      <c r="BI85" s="57">
        <f t="shared" si="22"/>
        <v>0</v>
      </c>
      <c r="BJ85" s="57">
        <f t="shared" si="22"/>
        <v>0</v>
      </c>
      <c r="BK85" s="57">
        <f t="shared" si="22"/>
        <v>0</v>
      </c>
      <c r="BL85" s="57">
        <f t="shared" si="22"/>
        <v>0</v>
      </c>
      <c r="BM85" s="57">
        <f t="shared" si="22"/>
        <v>0</v>
      </c>
      <c r="BN85" s="57">
        <f t="shared" si="22"/>
        <v>0</v>
      </c>
      <c r="BO85" s="57">
        <f t="shared" si="22"/>
        <v>0</v>
      </c>
      <c r="BP85" s="57">
        <f t="shared" si="22"/>
        <v>0</v>
      </c>
      <c r="BQ85" s="57"/>
    </row>
    <row r="86" spans="10:69" ht="19" thickBot="1">
      <c r="J86" s="1" t="s">
        <v>123</v>
      </c>
      <c r="AK86" s="67" t="s">
        <v>108</v>
      </c>
      <c r="AL86" s="68">
        <f>COUNTIF(AL32:AL34,"*P*")+COUNTIF(AL32:AL34,"*E*")</f>
        <v>0</v>
      </c>
      <c r="AM86" s="68">
        <f t="shared" ref="AM86:BP86" si="23">COUNTIF(AM32:AM34,"*P*")+COUNTIF(AM32:AM34,"*E*")</f>
        <v>0</v>
      </c>
      <c r="AN86" s="68">
        <f t="shared" si="23"/>
        <v>1</v>
      </c>
      <c r="AO86" s="68">
        <f t="shared" si="23"/>
        <v>0</v>
      </c>
      <c r="AP86" s="68">
        <f t="shared" si="23"/>
        <v>0</v>
      </c>
      <c r="AQ86" s="68">
        <f t="shared" si="23"/>
        <v>0</v>
      </c>
      <c r="AR86" s="68">
        <f t="shared" si="23"/>
        <v>0</v>
      </c>
      <c r="AS86" s="68">
        <f t="shared" si="23"/>
        <v>0</v>
      </c>
      <c r="AT86" s="68">
        <f t="shared" si="23"/>
        <v>0</v>
      </c>
      <c r="AU86" s="68">
        <f t="shared" si="23"/>
        <v>0</v>
      </c>
      <c r="AV86" s="68">
        <f t="shared" si="23"/>
        <v>0</v>
      </c>
      <c r="AW86" s="68">
        <f t="shared" si="23"/>
        <v>0</v>
      </c>
      <c r="AX86" s="68">
        <f t="shared" si="23"/>
        <v>0</v>
      </c>
      <c r="AY86" s="68">
        <f t="shared" si="23"/>
        <v>0</v>
      </c>
      <c r="AZ86" s="68">
        <f t="shared" si="23"/>
        <v>0</v>
      </c>
      <c r="BA86" s="68">
        <f t="shared" si="23"/>
        <v>0</v>
      </c>
      <c r="BB86" s="68">
        <f t="shared" si="23"/>
        <v>0</v>
      </c>
      <c r="BC86" s="68">
        <f t="shared" si="23"/>
        <v>0</v>
      </c>
      <c r="BD86" s="68">
        <f t="shared" si="23"/>
        <v>0</v>
      </c>
      <c r="BE86" s="68">
        <f t="shared" si="23"/>
        <v>0</v>
      </c>
      <c r="BF86" s="68">
        <f t="shared" si="23"/>
        <v>0</v>
      </c>
      <c r="BG86" s="68">
        <f t="shared" si="23"/>
        <v>0</v>
      </c>
      <c r="BH86" s="68">
        <f t="shared" si="23"/>
        <v>0</v>
      </c>
      <c r="BI86" s="68">
        <f t="shared" si="23"/>
        <v>0</v>
      </c>
      <c r="BJ86" s="68">
        <f t="shared" si="23"/>
        <v>0</v>
      </c>
      <c r="BK86" s="68">
        <f t="shared" si="23"/>
        <v>0</v>
      </c>
      <c r="BL86" s="68">
        <f t="shared" si="23"/>
        <v>0</v>
      </c>
      <c r="BM86" s="68">
        <f t="shared" si="23"/>
        <v>0</v>
      </c>
      <c r="BN86" s="68">
        <f t="shared" si="23"/>
        <v>0</v>
      </c>
      <c r="BO86" s="68">
        <f t="shared" si="23"/>
        <v>0</v>
      </c>
      <c r="BP86" s="69">
        <f t="shared" si="23"/>
        <v>0</v>
      </c>
      <c r="BQ86" s="57"/>
    </row>
    <row r="87" spans="10:69" ht="19" thickBot="1">
      <c r="J87" s="1" t="s">
        <v>124</v>
      </c>
      <c r="AK87" s="67" t="s">
        <v>45</v>
      </c>
      <c r="AL87" s="68" cm="1">
        <f t="array" ref="AL87">SUMPRODUCT(--(LEFT(AJ6:AJ36,1)="P"),
            --(LEFT(AL6:AL36,1)="A"),
            --(LEFT(AL6:AL36,2)&lt;&gt;"AL"))</f>
        <v>2</v>
      </c>
      <c r="AM87" s="68" cm="1">
        <f t="array" ref="AM87">SUMPRODUCT(--(LEFT(AL6:AL36,1)="P"),
            --(LEFT(AM6:AM36,1)="A"),
            --(LEFT(AM6:AM36,2)&lt;&gt;"AL"))</f>
        <v>0</v>
      </c>
      <c r="AN87" s="68" cm="1">
        <f t="array" ref="AN87">SUMPRODUCT(--(LEFT(AM6:AM36,1)="P"),
            --(LEFT(AN6:AN36,1)="A"),
            --(LEFT(AN6:AN36,2)&lt;&gt;"AL"))</f>
        <v>0</v>
      </c>
      <c r="AO87" s="68" cm="1">
        <f t="array" ref="AO87">SUMPRODUCT(--(LEFT(AN6:AN36,1)="P"),
            --(LEFT(AO6:AO36,1)="A"),
            --(LEFT(AO6:AO36,2)&lt;&gt;"AL"))</f>
        <v>0</v>
      </c>
      <c r="AP87" s="68" cm="1">
        <f t="array" ref="AP87">SUMPRODUCT(--(LEFT(AO6:AO36,1)="P"),
            --(LEFT(AP6:AP36,1)="A"),
            --(LEFT(AP6:AP36,2)&lt;&gt;"AL"))</f>
        <v>0</v>
      </c>
      <c r="AQ87" s="68" cm="1">
        <f t="array" ref="AQ87">SUMPRODUCT(--(LEFT(AP6:AP36,1)="P"),
            --(LEFT(AQ6:AQ36,1)="A"),
            --(LEFT(AQ6:AQ36,2)&lt;&gt;"AL"))</f>
        <v>0</v>
      </c>
      <c r="AR87" s="68" cm="1">
        <f t="array" ref="AR87">SUMPRODUCT(--(LEFT(AQ6:AQ36,1)="P"),
            --(LEFT(AR6:AR36,1)="A"),
            --(LEFT(AR6:AR36,2)&lt;&gt;"AL"))</f>
        <v>0</v>
      </c>
      <c r="AS87" s="68" cm="1">
        <f t="array" ref="AS87">SUMPRODUCT(--(LEFT(AR6:AR36,1)="P"),
            --(LEFT(AS6:AS36,1)="A"),
            --(LEFT(AS6:AS36,2)&lt;&gt;"AL"))</f>
        <v>0</v>
      </c>
      <c r="AT87" s="68" cm="1">
        <f t="array" ref="AT87">SUMPRODUCT(--(LEFT(AS6:AS36,1)="P"),
            --(LEFT(AT6:AT36,1)="A"),
            --(LEFT(AT6:AT36,2)&lt;&gt;"AL"))</f>
        <v>0</v>
      </c>
      <c r="AU87" s="68" cm="1">
        <f t="array" ref="AU87">SUMPRODUCT(--(LEFT(AT6:AT36,1)="P"),
            --(LEFT(AU6:AU36,1)="A"),
            --(LEFT(AU6:AU36,2)&lt;&gt;"AL"))</f>
        <v>0</v>
      </c>
      <c r="AV87" s="68" cm="1">
        <f t="array" ref="AV87">SUMPRODUCT(--(LEFT(AU6:AU36,1)="P"),
            --(LEFT(AV6:AV36,1)="A"),
            --(LEFT(AV6:AV36,2)&lt;&gt;"AL"))</f>
        <v>0</v>
      </c>
      <c r="AW87" s="68" cm="1">
        <f t="array" ref="AW87">SUMPRODUCT(--(LEFT(AV6:AV36,1)="P"),
            --(LEFT(AW6:AW36,1)="A"),
            --(LEFT(AW6:AW36,2)&lt;&gt;"AL"))</f>
        <v>0</v>
      </c>
      <c r="AX87" s="68" cm="1">
        <f t="array" ref="AX87">SUMPRODUCT(--(LEFT(AW6:AW36,1)="P"),
            --(LEFT(AX6:AX36,1)="A"),
            --(LEFT(AX6:AX36,2)&lt;&gt;"AL"))</f>
        <v>0</v>
      </c>
      <c r="AY87" s="68" cm="1">
        <f t="array" ref="AY87">SUMPRODUCT(--(LEFT(AX6:AX36,1)="P"),
            --(LEFT(AY6:AY36,1)="A"),
            --(LEFT(AY6:AY36,2)&lt;&gt;"AL"))</f>
        <v>0</v>
      </c>
      <c r="AZ87" s="68" cm="1">
        <f t="array" ref="AZ87">SUMPRODUCT(--(LEFT(AY6:AY36,1)="P"),
            --(LEFT(AZ6:AZ36,1)="A"),
            --(LEFT(AZ6:AZ36,2)&lt;&gt;"AL"))</f>
        <v>0</v>
      </c>
      <c r="BA87" s="68" cm="1">
        <f t="array" ref="BA87">SUMPRODUCT(--(LEFT(AZ6:AZ36,1)="P"),
            --(LEFT(BA6:BA36,1)="A"),
            --(LEFT(BA6:BA36,2)&lt;&gt;"AL"))</f>
        <v>0</v>
      </c>
      <c r="BB87" s="68" cm="1">
        <f t="array" ref="BB87">SUMPRODUCT(--(LEFT(BA6:BA36,1)="P"),
            --(LEFT(BB6:BB36,1)="A"),
            --(LEFT(BB6:BB36,2)&lt;&gt;"AL"))</f>
        <v>0</v>
      </c>
      <c r="BC87" s="68" cm="1">
        <f t="array" ref="BC87">SUMPRODUCT(--(LEFT(BB6:BB36,1)="P"),
            --(LEFT(BC6:BC36,1)="A"),
            --(LEFT(BC6:BC36,2)&lt;&gt;"AL"))</f>
        <v>0</v>
      </c>
      <c r="BD87" s="68" cm="1">
        <f t="array" ref="BD87">SUMPRODUCT(--(LEFT(BC6:BC36,1)="P"),
            --(LEFT(BD6:BD36,1)="A"),
            --(LEFT(BD6:BD36,2)&lt;&gt;"AL"))</f>
        <v>0</v>
      </c>
      <c r="BE87" s="68" cm="1">
        <f t="array" ref="BE87">SUMPRODUCT(--(LEFT(BD6:BD36,1)="P"),
            --(LEFT(BE6:BE36,1)="A"),
            --(LEFT(BE6:BE36,2)&lt;&gt;"AL"))</f>
        <v>0</v>
      </c>
      <c r="BF87" s="68" cm="1">
        <f t="array" ref="BF87">SUMPRODUCT(--(LEFT(BE6:BE36,1)="P"),
            --(LEFT(BF6:BF36,1)="A"),
            --(LEFT(BF6:BF36,2)&lt;&gt;"AL"))</f>
        <v>0</v>
      </c>
      <c r="BG87" s="68" cm="1">
        <f t="array" ref="BG87">SUMPRODUCT(--(LEFT(BF6:BF36,1)="P"),
            --(LEFT(BG6:BG36,1)="A"),
            --(LEFT(BG6:BG36,2)&lt;&gt;"AL"))</f>
        <v>0</v>
      </c>
      <c r="BH87" s="68" cm="1">
        <f t="array" ref="BH87">SUMPRODUCT(--(LEFT(BG6:BG36,1)="P"),
            --(LEFT(BH6:BH36,1)="A"),
            --(LEFT(BH6:BH36,2)&lt;&gt;"AL"))</f>
        <v>0</v>
      </c>
      <c r="BI87" s="68" cm="1">
        <f t="array" ref="BI87">SUMPRODUCT(--(LEFT(BH6:BH36,1)="P"),
            --(LEFT(BI6:BI36,1)="A"),
            --(LEFT(BI6:BI36,2)&lt;&gt;"AL"))</f>
        <v>0</v>
      </c>
      <c r="BJ87" s="68" cm="1">
        <f t="array" ref="BJ87">SUMPRODUCT(--(LEFT(BI6:BI36,1)="P"),
            --(LEFT(BJ6:BJ36,1)="A"),
            --(LEFT(BJ6:BJ36,2)&lt;&gt;"AL"))</f>
        <v>0</v>
      </c>
      <c r="BK87" s="68" cm="1">
        <f t="array" ref="BK87">SUMPRODUCT(--(LEFT(BJ6:BJ36,1)="P"),
            --(LEFT(BK6:BK36,1)="A"),
            --(LEFT(BK6:BK36,2)&lt;&gt;"AL"))</f>
        <v>0</v>
      </c>
      <c r="BL87" s="68" cm="1">
        <f t="array" ref="BL87">SUMPRODUCT(--(LEFT(BK6:BK36,1)="P"),
            --(LEFT(BL6:BL36,1)="A"),
            --(LEFT(BL6:BL36,2)&lt;&gt;"AL"))</f>
        <v>0</v>
      </c>
      <c r="BM87" s="68" cm="1">
        <f t="array" ref="BM87">SUMPRODUCT(--(LEFT(BL6:BL36,1)="P"),
            --(LEFT(BM6:BM36,1)="A"),
            --(LEFT(BM6:BM36,2)&lt;&gt;"AL"))</f>
        <v>0</v>
      </c>
      <c r="BN87" s="68" cm="1">
        <f t="array" ref="BN87">SUMPRODUCT(--(LEFT(BM6:BM36,1)="P"),
            --(LEFT(BN6:BN36,1)="A"),
            --(LEFT(BN6:BN36,2)&lt;&gt;"AL"))</f>
        <v>0</v>
      </c>
      <c r="BO87" s="68" cm="1">
        <f t="array" ref="BO87">SUMPRODUCT(--(LEFT(BN6:BN36,1)="P"),
            --(LEFT(BO6:BO36,1)="A"),
            --(LEFT(BO6:BO36,2)&lt;&gt;"AL"))</f>
        <v>0</v>
      </c>
      <c r="BP87" s="69" cm="1">
        <f t="array" ref="BP87">SUMPRODUCT(--(LEFT(BO6:BO34,1)="P"),
            --(LEFT(BP6:BP34,1)="A"),
            --(LEFT(BP6:BP34,2)&lt;&gt;"AL"))</f>
        <v>0</v>
      </c>
      <c r="BQ87" s="57"/>
    </row>
    <row r="88" spans="10:69">
      <c r="J88" s="1" t="s">
        <v>125</v>
      </c>
      <c r="K88" s="36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</row>
    <row r="89" spans="10:69" hidden="1">
      <c r="J89" s="1" t="s">
        <v>126</v>
      </c>
      <c r="AK89" s="57" t="s">
        <v>70</v>
      </c>
      <c r="AL89" s="57">
        <f>COUNTIF(AL6:AL34,"*A2**")-COUNTIF(AL6:AL34,"*A2*")+COUNTIF(AL6:AL34,"*E2**")-COUNTIF(AL6:AL34,"*E2*")</f>
        <v>0</v>
      </c>
      <c r="AM89" s="57">
        <f t="shared" ref="AM89:BP89" si="24">COUNTIF(AM6:AM34,"*A2**")-COUNTIF(AM6:AM34,"*A2*")+COUNTIF(AM6:AM34,"*E2**")-COUNTIF(AM6:AM34,"*E2*")</f>
        <v>0</v>
      </c>
      <c r="AN89" s="57">
        <f t="shared" si="24"/>
        <v>0</v>
      </c>
      <c r="AO89" s="57">
        <f t="shared" si="24"/>
        <v>0</v>
      </c>
      <c r="AP89" s="57">
        <f t="shared" si="24"/>
        <v>0</v>
      </c>
      <c r="AQ89" s="57">
        <f t="shared" si="24"/>
        <v>0</v>
      </c>
      <c r="AR89" s="57">
        <f t="shared" si="24"/>
        <v>0</v>
      </c>
      <c r="AS89" s="57">
        <f t="shared" si="24"/>
        <v>0</v>
      </c>
      <c r="AT89" s="57">
        <f t="shared" si="24"/>
        <v>0</v>
      </c>
      <c r="AU89" s="57">
        <f t="shared" si="24"/>
        <v>0</v>
      </c>
      <c r="AV89" s="57">
        <f t="shared" si="24"/>
        <v>0</v>
      </c>
      <c r="AW89" s="57">
        <f t="shared" si="24"/>
        <v>0</v>
      </c>
      <c r="AX89" s="57">
        <f t="shared" si="24"/>
        <v>0</v>
      </c>
      <c r="AY89" s="57">
        <f t="shared" si="24"/>
        <v>0</v>
      </c>
      <c r="AZ89" s="57">
        <f t="shared" si="24"/>
        <v>0</v>
      </c>
      <c r="BA89" s="57">
        <f t="shared" si="24"/>
        <v>0</v>
      </c>
      <c r="BB89" s="57">
        <f t="shared" si="24"/>
        <v>0</v>
      </c>
      <c r="BC89" s="57">
        <f t="shared" si="24"/>
        <v>0</v>
      </c>
      <c r="BD89" s="57">
        <f t="shared" si="24"/>
        <v>0</v>
      </c>
      <c r="BE89" s="57">
        <f t="shared" si="24"/>
        <v>0</v>
      </c>
      <c r="BF89" s="57">
        <f t="shared" si="24"/>
        <v>0</v>
      </c>
      <c r="BG89" s="57">
        <f t="shared" si="24"/>
        <v>0</v>
      </c>
      <c r="BH89" s="57">
        <f t="shared" si="24"/>
        <v>0</v>
      </c>
      <c r="BI89" s="57">
        <f t="shared" si="24"/>
        <v>0</v>
      </c>
      <c r="BJ89" s="57">
        <f t="shared" si="24"/>
        <v>0</v>
      </c>
      <c r="BK89" s="57">
        <f t="shared" si="24"/>
        <v>0</v>
      </c>
      <c r="BL89" s="57">
        <f t="shared" si="24"/>
        <v>0</v>
      </c>
      <c r="BM89" s="57">
        <f t="shared" si="24"/>
        <v>0</v>
      </c>
      <c r="BN89" s="57">
        <f t="shared" si="24"/>
        <v>0</v>
      </c>
      <c r="BO89" s="57">
        <f t="shared" si="24"/>
        <v>0</v>
      </c>
      <c r="BP89" s="57">
        <f t="shared" si="24"/>
        <v>0</v>
      </c>
      <c r="BQ89" s="57"/>
    </row>
    <row r="90" spans="10:69" hidden="1">
      <c r="J90" s="1" t="s">
        <v>127</v>
      </c>
      <c r="AK90" s="57" t="s">
        <v>91</v>
      </c>
      <c r="AL90" s="57">
        <f>COUNTIF(AL6:AL34,"*^*")</f>
        <v>0</v>
      </c>
      <c r="AM90" s="57">
        <f t="shared" ref="AM90:BP90" si="25">COUNTIF(AM6:AM34,"*^*")</f>
        <v>0</v>
      </c>
      <c r="AN90" s="57">
        <f t="shared" si="25"/>
        <v>0</v>
      </c>
      <c r="AO90" s="57">
        <f t="shared" si="25"/>
        <v>0</v>
      </c>
      <c r="AP90" s="57">
        <f t="shared" si="25"/>
        <v>0</v>
      </c>
      <c r="AQ90" s="57">
        <f t="shared" si="25"/>
        <v>0</v>
      </c>
      <c r="AR90" s="57">
        <f t="shared" si="25"/>
        <v>0</v>
      </c>
      <c r="AS90" s="57">
        <f t="shared" si="25"/>
        <v>0</v>
      </c>
      <c r="AT90" s="57">
        <f t="shared" si="25"/>
        <v>0</v>
      </c>
      <c r="AU90" s="57">
        <f t="shared" si="25"/>
        <v>0</v>
      </c>
      <c r="AV90" s="57">
        <f t="shared" si="25"/>
        <v>0</v>
      </c>
      <c r="AW90" s="57">
        <f t="shared" si="25"/>
        <v>0</v>
      </c>
      <c r="AX90" s="57">
        <f t="shared" si="25"/>
        <v>0</v>
      </c>
      <c r="AY90" s="57">
        <f t="shared" si="25"/>
        <v>0</v>
      </c>
      <c r="AZ90" s="57">
        <f t="shared" si="25"/>
        <v>0</v>
      </c>
      <c r="BA90" s="57">
        <f t="shared" si="25"/>
        <v>0</v>
      </c>
      <c r="BB90" s="57">
        <f t="shared" si="25"/>
        <v>0</v>
      </c>
      <c r="BC90" s="57">
        <f t="shared" si="25"/>
        <v>0</v>
      </c>
      <c r="BD90" s="57">
        <f t="shared" si="25"/>
        <v>0</v>
      </c>
      <c r="BE90" s="57">
        <f t="shared" si="25"/>
        <v>0</v>
      </c>
      <c r="BF90" s="57">
        <f t="shared" si="25"/>
        <v>0</v>
      </c>
      <c r="BG90" s="57">
        <f t="shared" si="25"/>
        <v>0</v>
      </c>
      <c r="BH90" s="57">
        <f t="shared" si="25"/>
        <v>0</v>
      </c>
      <c r="BI90" s="57">
        <f t="shared" si="25"/>
        <v>0</v>
      </c>
      <c r="BJ90" s="57">
        <f t="shared" si="25"/>
        <v>0</v>
      </c>
      <c r="BK90" s="57">
        <f t="shared" si="25"/>
        <v>0</v>
      </c>
      <c r="BL90" s="57">
        <f t="shared" si="25"/>
        <v>0</v>
      </c>
      <c r="BM90" s="57">
        <f t="shared" si="25"/>
        <v>0</v>
      </c>
      <c r="BN90" s="57">
        <f t="shared" si="25"/>
        <v>0</v>
      </c>
      <c r="BO90" s="57">
        <f t="shared" si="25"/>
        <v>0</v>
      </c>
      <c r="BP90" s="57">
        <f t="shared" si="25"/>
        <v>0</v>
      </c>
      <c r="BQ90" s="57"/>
    </row>
    <row r="91" spans="10:69" hidden="1">
      <c r="J91" s="1" t="s">
        <v>128</v>
      </c>
      <c r="AK91" s="57" t="s">
        <v>89</v>
      </c>
      <c r="AL91" s="57">
        <f>COUNTIF(AL6:AL34,"*B*")</f>
        <v>0</v>
      </c>
      <c r="AM91" s="57">
        <f t="shared" ref="AM91:BP91" si="26">COUNTIF(AM6:AM34,"*B*")</f>
        <v>0</v>
      </c>
      <c r="AN91" s="57">
        <f t="shared" si="26"/>
        <v>0</v>
      </c>
      <c r="AO91" s="57">
        <f t="shared" si="26"/>
        <v>0</v>
      </c>
      <c r="AP91" s="57">
        <f t="shared" si="26"/>
        <v>0</v>
      </c>
      <c r="AQ91" s="57">
        <f t="shared" si="26"/>
        <v>0</v>
      </c>
      <c r="AR91" s="57">
        <f t="shared" si="26"/>
        <v>0</v>
      </c>
      <c r="AS91" s="57">
        <f t="shared" si="26"/>
        <v>0</v>
      </c>
      <c r="AT91" s="57">
        <f t="shared" si="26"/>
        <v>0</v>
      </c>
      <c r="AU91" s="57">
        <f t="shared" si="26"/>
        <v>0</v>
      </c>
      <c r="AV91" s="57">
        <f t="shared" si="26"/>
        <v>0</v>
      </c>
      <c r="AW91" s="57">
        <f t="shared" si="26"/>
        <v>0</v>
      </c>
      <c r="AX91" s="57">
        <f t="shared" si="26"/>
        <v>0</v>
      </c>
      <c r="AY91" s="57">
        <f t="shared" si="26"/>
        <v>0</v>
      </c>
      <c r="AZ91" s="57">
        <f t="shared" si="26"/>
        <v>0</v>
      </c>
      <c r="BA91" s="57">
        <f t="shared" si="26"/>
        <v>0</v>
      </c>
      <c r="BB91" s="57">
        <f t="shared" si="26"/>
        <v>0</v>
      </c>
      <c r="BC91" s="57">
        <f t="shared" si="26"/>
        <v>0</v>
      </c>
      <c r="BD91" s="57">
        <f t="shared" si="26"/>
        <v>0</v>
      </c>
      <c r="BE91" s="57">
        <f t="shared" si="26"/>
        <v>0</v>
      </c>
      <c r="BF91" s="57">
        <f t="shared" si="26"/>
        <v>0</v>
      </c>
      <c r="BG91" s="57">
        <f t="shared" si="26"/>
        <v>0</v>
      </c>
      <c r="BH91" s="57">
        <f t="shared" si="26"/>
        <v>0</v>
      </c>
      <c r="BI91" s="57">
        <f t="shared" si="26"/>
        <v>0</v>
      </c>
      <c r="BJ91" s="57">
        <f t="shared" si="26"/>
        <v>0</v>
      </c>
      <c r="BK91" s="57">
        <f t="shared" si="26"/>
        <v>0</v>
      </c>
      <c r="BL91" s="57">
        <f t="shared" si="26"/>
        <v>0</v>
      </c>
      <c r="BM91" s="57">
        <f t="shared" si="26"/>
        <v>0</v>
      </c>
      <c r="BN91" s="57">
        <f t="shared" si="26"/>
        <v>0</v>
      </c>
      <c r="BO91" s="57">
        <f t="shared" si="26"/>
        <v>0</v>
      </c>
      <c r="BP91" s="57">
        <f t="shared" si="26"/>
        <v>0</v>
      </c>
      <c r="BQ91" s="57"/>
    </row>
    <row r="92" spans="10:69" hidden="1">
      <c r="J92" s="1" t="s">
        <v>129</v>
      </c>
      <c r="V92" s="56"/>
      <c r="AK92" s="57" t="s">
        <v>90</v>
      </c>
      <c r="AL92" s="57">
        <f>COUNTIF(AL6:AL34,"*K*")</f>
        <v>0</v>
      </c>
      <c r="AM92" s="57">
        <f t="shared" ref="AM92:BP92" si="27">COUNTIF(AM6:AM34,"*K*")</f>
        <v>0</v>
      </c>
      <c r="AN92" s="57">
        <f t="shared" si="27"/>
        <v>0</v>
      </c>
      <c r="AO92" s="57">
        <f t="shared" si="27"/>
        <v>0</v>
      </c>
      <c r="AP92" s="57">
        <f t="shared" si="27"/>
        <v>0</v>
      </c>
      <c r="AQ92" s="57">
        <f t="shared" si="27"/>
        <v>0</v>
      </c>
      <c r="AR92" s="57">
        <f t="shared" si="27"/>
        <v>0</v>
      </c>
      <c r="AS92" s="57">
        <f t="shared" si="27"/>
        <v>0</v>
      </c>
      <c r="AT92" s="57">
        <f t="shared" si="27"/>
        <v>0</v>
      </c>
      <c r="AU92" s="57">
        <f t="shared" si="27"/>
        <v>0</v>
      </c>
      <c r="AV92" s="57">
        <f t="shared" si="27"/>
        <v>0</v>
      </c>
      <c r="AW92" s="57">
        <f t="shared" si="27"/>
        <v>0</v>
      </c>
      <c r="AX92" s="57">
        <f t="shared" si="27"/>
        <v>0</v>
      </c>
      <c r="AY92" s="57">
        <f t="shared" si="27"/>
        <v>0</v>
      </c>
      <c r="AZ92" s="57">
        <f t="shared" si="27"/>
        <v>0</v>
      </c>
      <c r="BA92" s="57">
        <f t="shared" si="27"/>
        <v>0</v>
      </c>
      <c r="BB92" s="57">
        <f t="shared" si="27"/>
        <v>0</v>
      </c>
      <c r="BC92" s="57">
        <f t="shared" si="27"/>
        <v>0</v>
      </c>
      <c r="BD92" s="57">
        <f t="shared" si="27"/>
        <v>0</v>
      </c>
      <c r="BE92" s="57">
        <f t="shared" si="27"/>
        <v>0</v>
      </c>
      <c r="BF92" s="57">
        <f t="shared" si="27"/>
        <v>0</v>
      </c>
      <c r="BG92" s="57">
        <f t="shared" si="27"/>
        <v>0</v>
      </c>
      <c r="BH92" s="57">
        <f t="shared" si="27"/>
        <v>0</v>
      </c>
      <c r="BI92" s="57">
        <f t="shared" si="27"/>
        <v>0</v>
      </c>
      <c r="BJ92" s="57">
        <f t="shared" si="27"/>
        <v>0</v>
      </c>
      <c r="BK92" s="57">
        <f t="shared" si="27"/>
        <v>0</v>
      </c>
      <c r="BL92" s="57">
        <f t="shared" si="27"/>
        <v>0</v>
      </c>
      <c r="BM92" s="57">
        <f t="shared" si="27"/>
        <v>0</v>
      </c>
      <c r="BN92" s="57">
        <f t="shared" si="27"/>
        <v>0</v>
      </c>
      <c r="BO92" s="57">
        <f t="shared" si="27"/>
        <v>0</v>
      </c>
      <c r="BP92" s="57">
        <f t="shared" si="27"/>
        <v>0</v>
      </c>
      <c r="BQ92" s="57"/>
    </row>
    <row r="93" spans="10:69" hidden="1">
      <c r="J93" s="36" t="s">
        <v>130</v>
      </c>
      <c r="AK93" s="57" t="s">
        <v>92</v>
      </c>
      <c r="AL93" s="57">
        <f>COUNTIF(AL6:AL34,"*ⓦ*")</f>
        <v>0</v>
      </c>
      <c r="AM93" s="57">
        <f t="shared" ref="AM93:BP93" si="28">COUNTIF(AM6:AM34,"*ⓦ*")</f>
        <v>0</v>
      </c>
      <c r="AN93" s="57">
        <f t="shared" si="28"/>
        <v>0</v>
      </c>
      <c r="AO93" s="57">
        <f t="shared" si="28"/>
        <v>0</v>
      </c>
      <c r="AP93" s="57">
        <f t="shared" si="28"/>
        <v>0</v>
      </c>
      <c r="AQ93" s="57">
        <f t="shared" si="28"/>
        <v>0</v>
      </c>
      <c r="AR93" s="57">
        <f t="shared" si="28"/>
        <v>0</v>
      </c>
      <c r="AS93" s="57">
        <f t="shared" si="28"/>
        <v>0</v>
      </c>
      <c r="AT93" s="57">
        <f t="shared" si="28"/>
        <v>0</v>
      </c>
      <c r="AU93" s="57">
        <f t="shared" si="28"/>
        <v>0</v>
      </c>
      <c r="AV93" s="57">
        <f t="shared" si="28"/>
        <v>0</v>
      </c>
      <c r="AW93" s="57">
        <f t="shared" si="28"/>
        <v>0</v>
      </c>
      <c r="AX93" s="57">
        <f t="shared" si="28"/>
        <v>0</v>
      </c>
      <c r="AY93" s="57">
        <f t="shared" si="28"/>
        <v>0</v>
      </c>
      <c r="AZ93" s="57">
        <f t="shared" si="28"/>
        <v>0</v>
      </c>
      <c r="BA93" s="57">
        <f t="shared" si="28"/>
        <v>0</v>
      </c>
      <c r="BB93" s="57">
        <f t="shared" si="28"/>
        <v>0</v>
      </c>
      <c r="BC93" s="57">
        <f t="shared" si="28"/>
        <v>0</v>
      </c>
      <c r="BD93" s="57">
        <f t="shared" si="28"/>
        <v>0</v>
      </c>
      <c r="BE93" s="57">
        <f t="shared" si="28"/>
        <v>0</v>
      </c>
      <c r="BF93" s="57">
        <f t="shared" si="28"/>
        <v>0</v>
      </c>
      <c r="BG93" s="57">
        <f t="shared" si="28"/>
        <v>0</v>
      </c>
      <c r="BH93" s="57">
        <f t="shared" si="28"/>
        <v>0</v>
      </c>
      <c r="BI93" s="57">
        <f t="shared" si="28"/>
        <v>0</v>
      </c>
      <c r="BJ93" s="57">
        <f t="shared" si="28"/>
        <v>0</v>
      </c>
      <c r="BK93" s="57">
        <f t="shared" si="28"/>
        <v>0</v>
      </c>
      <c r="BL93" s="57">
        <f t="shared" si="28"/>
        <v>0</v>
      </c>
      <c r="BM93" s="57">
        <f t="shared" si="28"/>
        <v>0</v>
      </c>
      <c r="BN93" s="57">
        <f t="shared" si="28"/>
        <v>0</v>
      </c>
      <c r="BO93" s="57">
        <f t="shared" si="28"/>
        <v>0</v>
      </c>
      <c r="BP93" s="57">
        <f t="shared" si="28"/>
        <v>0</v>
      </c>
      <c r="BQ93" s="57"/>
    </row>
    <row r="94" spans="10:69" hidden="1">
      <c r="AK94" s="57" t="s">
        <v>88</v>
      </c>
      <c r="AL94" s="57">
        <f>COUNTIF(AL6:AL34,"*ω*")</f>
        <v>0</v>
      </c>
      <c r="AM94" s="57">
        <f t="shared" ref="AM94:BP94" si="29">COUNTIF(AM6:AM34,"*ω*")</f>
        <v>0</v>
      </c>
      <c r="AN94" s="57">
        <f t="shared" si="29"/>
        <v>0</v>
      </c>
      <c r="AO94" s="57">
        <f t="shared" si="29"/>
        <v>0</v>
      </c>
      <c r="AP94" s="57">
        <f t="shared" si="29"/>
        <v>0</v>
      </c>
      <c r="AQ94" s="57">
        <f t="shared" si="29"/>
        <v>0</v>
      </c>
      <c r="AR94" s="57">
        <f t="shared" si="29"/>
        <v>0</v>
      </c>
      <c r="AS94" s="57">
        <f t="shared" si="29"/>
        <v>0</v>
      </c>
      <c r="AT94" s="57">
        <f t="shared" si="29"/>
        <v>0</v>
      </c>
      <c r="AU94" s="57">
        <f t="shared" si="29"/>
        <v>0</v>
      </c>
      <c r="AV94" s="57">
        <f t="shared" si="29"/>
        <v>0</v>
      </c>
      <c r="AW94" s="57">
        <f t="shared" si="29"/>
        <v>0</v>
      </c>
      <c r="AX94" s="57">
        <f t="shared" si="29"/>
        <v>0</v>
      </c>
      <c r="AY94" s="57">
        <f t="shared" si="29"/>
        <v>0</v>
      </c>
      <c r="AZ94" s="57">
        <f t="shared" si="29"/>
        <v>0</v>
      </c>
      <c r="BA94" s="57">
        <f t="shared" si="29"/>
        <v>0</v>
      </c>
      <c r="BB94" s="57">
        <f t="shared" si="29"/>
        <v>0</v>
      </c>
      <c r="BC94" s="57">
        <f t="shared" si="29"/>
        <v>0</v>
      </c>
      <c r="BD94" s="57">
        <f t="shared" si="29"/>
        <v>0</v>
      </c>
      <c r="BE94" s="57">
        <f t="shared" si="29"/>
        <v>0</v>
      </c>
      <c r="BF94" s="57">
        <f t="shared" si="29"/>
        <v>0</v>
      </c>
      <c r="BG94" s="57">
        <f t="shared" si="29"/>
        <v>0</v>
      </c>
      <c r="BH94" s="57">
        <f t="shared" si="29"/>
        <v>0</v>
      </c>
      <c r="BI94" s="57">
        <f t="shared" si="29"/>
        <v>0</v>
      </c>
      <c r="BJ94" s="57">
        <f t="shared" si="29"/>
        <v>0</v>
      </c>
      <c r="BK94" s="57">
        <f t="shared" si="29"/>
        <v>0</v>
      </c>
      <c r="BL94" s="57">
        <f t="shared" si="29"/>
        <v>0</v>
      </c>
      <c r="BM94" s="57">
        <f t="shared" si="29"/>
        <v>0</v>
      </c>
      <c r="BN94" s="57">
        <f t="shared" si="29"/>
        <v>0</v>
      </c>
      <c r="BO94" s="57">
        <f t="shared" si="29"/>
        <v>0</v>
      </c>
      <c r="BP94" s="57">
        <f t="shared" si="29"/>
        <v>0</v>
      </c>
      <c r="BQ94" s="57"/>
    </row>
    <row r="96" spans="10:69">
      <c r="K96" s="36"/>
    </row>
    <row r="98" spans="10:11">
      <c r="J98" s="24"/>
      <c r="K98" s="24"/>
    </row>
    <row r="101" spans="10:11">
      <c r="J101" s="36"/>
      <c r="K101" s="36"/>
    </row>
    <row r="104" spans="10:11">
      <c r="J104" s="36"/>
      <c r="K104" s="36"/>
    </row>
    <row r="105" spans="10:11">
      <c r="K105" s="59"/>
    </row>
    <row r="107" spans="10:11">
      <c r="K107" s="59"/>
    </row>
    <row r="108" spans="10:11">
      <c r="J108" s="36"/>
      <c r="K108" s="36"/>
    </row>
    <row r="109" spans="10:11">
      <c r="K109" s="59"/>
    </row>
    <row r="111" spans="10:11">
      <c r="K111" s="59"/>
    </row>
    <row r="117" spans="22:23">
      <c r="V117" s="13"/>
      <c r="W117" s="13"/>
    </row>
    <row r="118" spans="22:23">
      <c r="V118" s="13"/>
      <c r="W118" s="13"/>
    </row>
  </sheetData>
  <phoneticPr fontId="18" type="noConversion"/>
  <conditionalFormatting sqref="A6:XFD6 D7 D11:D12 D16:D17 D21:D22 D26:D27 D31:D32">
    <cfRule type="expression" dxfId="46" priority="7">
      <formula>COUNTIF($C6,"COS")+COUNTIF($C7, "CON*")=2</formula>
    </cfRule>
  </conditionalFormatting>
  <conditionalFormatting sqref="A6:XFD34">
    <cfRule type="expression" dxfId="45" priority="2">
      <formula>COUNTIF($C6,"E")+COUNTIF($C7, "")=2</formula>
    </cfRule>
    <cfRule type="expression" dxfId="44" priority="3">
      <formula>COUNTIF($C6,"BT*")+COUNTIF($C7, "E")=2</formula>
    </cfRule>
    <cfRule type="expression" dxfId="43" priority="4">
      <formula>COUNTIF($C6,"HT*")+COUNTIF($C7, "BT*")=2</formula>
    </cfRule>
    <cfRule type="expression" dxfId="42" priority="5">
      <formula>COUNTIF($C6,"AC")+COUNTIF($C7, "HT*")=2</formula>
    </cfRule>
    <cfRule type="expression" dxfId="41" priority="6">
      <formula>COUNTIF($C6,"CON*")+COUNTIF($C7, "AC")=2</formula>
    </cfRule>
  </conditionalFormatting>
  <conditionalFormatting sqref="M10:M34 N18 BQ34">
    <cfRule type="containsText" dxfId="40" priority="167" stopIfTrue="1" operator="containsText" text="B">
      <formula>NOT(ISERROR(SEARCH("B",M10)))</formula>
    </cfRule>
    <cfRule type="containsText" dxfId="39" priority="168" operator="containsText" text="N">
      <formula>NOT(ISERROR(SEARCH("N",M10)))</formula>
    </cfRule>
  </conditionalFormatting>
  <conditionalFormatting sqref="U9:U34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9:V34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9:W34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7:Z8 Z19:Z34 Z10:Z17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7:Z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6:BP6 AE7:BP7 AD8:BP9 AG10:BP10 AI11:BP11 AD12:BP12 AG13:BP13 AH14:BP14 AD15:BP15 AI16:BP16 AG17:BP17 AD18:BP18 AI19:BP19 AH20:BP20 AD21:BP21 AI22:BP22 AH23:BP23 AD24:BP24 AI25:BP25 AD26:BP27 AF28:BP28 AJ29:BP29 AH30:BP30 AD31:BP34 AD10:AE10 AD11:AG11 AD13:AE13 AD14:AF14 AD16:AG16 AD17:AE17 AD19:AG19 AD20:AF20 AD22:AG22 AD23:AF23 AD25:AG25 AD28 AD29:AH29 AD30:AF30">
    <cfRule type="expression" dxfId="38" priority="12">
      <formula>COUNTIF(AD6,"*N*")-COUNTIF(AD6,"*no*")&gt;0</formula>
    </cfRule>
  </conditionalFormatting>
  <conditionalFormatting sqref="AE6:BP9 AG10:BP10 AI11:BP11 AE12:BP12 AG13:BP13 AH14:BP14 AE15:BP15 AI16:BP16 AG17:BP17 AE18:BP18 AI19:BP19 AE10 AE11:AG11 AE13 AE14:AF14 AE16:AG16 AE17 AE19:AG19">
    <cfRule type="containsText" dxfId="37" priority="24" stopIfTrue="1" operator="containsText" text="Z">
      <formula>NOT(ISERROR(SEARCH("Z",AE6)))</formula>
    </cfRule>
  </conditionalFormatting>
  <conditionalFormatting sqref="AG7:BP10 AG11 AI11:BP11 AG12:BP13 AH14:BP14 AG15:BP15 AG16 AI16:BP16 AG17:BP18 AG19 AI19:BP19 AH20:BP20 AG21:BP21 AI22:BP22 AH23:BP23 AG24:BP24 AI25:BP25 AG26:BP27 AG28:AN28 AP28:BP28 AJ29:BP29 AH30:BP30 AG31:BP34 AG22 AG25 AG29:AH29">
    <cfRule type="containsText" dxfId="36" priority="30" operator="containsText" text="T">
      <formula>NOT(ISERROR(SEARCH("T",AG7)))</formula>
    </cfRule>
  </conditionalFormatting>
  <conditionalFormatting sqref="AK27">
    <cfRule type="containsText" dxfId="35" priority="16" stopIfTrue="1" operator="containsText" text="Z">
      <formula>NOT(ISERROR(SEARCH("Z",AK27)))</formula>
    </cfRule>
  </conditionalFormatting>
  <conditionalFormatting sqref="AK31">
    <cfRule type="containsText" dxfId="34" priority="15" stopIfTrue="1" operator="containsText" text="Z">
      <formula>NOT(ISERROR(SEARCH("Z",AK31)))</formula>
    </cfRule>
  </conditionalFormatting>
  <conditionalFormatting sqref="AL1">
    <cfRule type="expression" dxfId="33" priority="279">
      <formula>SUMPRODUCT(--ISNUMBER(SEARCH("O", AG1:AL1))) + SUMPRODUCT(--ISNUMBER(SEARCH("☆", AG1:AL1))) + SUMPRODUCT(--ISNUMBER(SEARCH("PH", AG1:AL1))) + SUMPRODUCT(--ISNUMBER(SEARCH("SH", AG1:AL1))) + SUMPRODUCT(--ISNUMBER(SEARCH("AL", AG1:AL1))) = 0</formula>
    </cfRule>
    <cfRule type="expression" dxfId="32" priority="170" stopIfTrue="1">
      <formula>COUNTIF(AL1, "P")+ COUNTIF(AM1, "P")+ COUNTIF(AN1, "P")&gt;2</formula>
    </cfRule>
  </conditionalFormatting>
  <conditionalFormatting sqref="AL6 AP6:AQ6 AW6:AX6 BD6:BE6 BK6:BL6">
    <cfRule type="containsText" dxfId="31" priority="99" stopIfTrue="1" operator="containsText" text="X">
      <formula>NOT(ISERROR(SEARCH("X",AL6)))</formula>
    </cfRule>
    <cfRule type="containsText" dxfId="30" priority="143" stopIfTrue="1" operator="containsText" text="B">
      <formula>NOT(ISERROR(SEARCH("B",AL6)))</formula>
    </cfRule>
  </conditionalFormatting>
  <conditionalFormatting sqref="AL6">
    <cfRule type="expression" dxfId="29" priority="56">
      <formula>AND(OR(COUNTIF(AL6,"*P*")-COUNTIF(AL6,"*PH*")&gt;0,COUNTIF(AL6,"*E*")&gt;0,COUNTIF(AL6,"*S*")-COUNTIF(AL6,"*SH*")&gt;0),OR(COUNTIF(AM6,"*A*")-COUNTIF(AM6,"*AL*")&gt;0,COUNTIF(AM6,"*B*")&gt;0,COUNTIF(AM6,"*D*")&gt;0))</formula>
    </cfRule>
  </conditionalFormatting>
  <conditionalFormatting sqref="AL6:BN34">
    <cfRule type="expression" dxfId="28" priority="13" stopIfTrue="1">
      <formula>COUNTIF(AL6, "*P*")+ COUNTIF(AL6, "*E*") +COUNTIF(AM6, "*A*")-COUNTIF(AM6, "*AL*")&gt;1</formula>
    </cfRule>
  </conditionalFormatting>
  <conditionalFormatting sqref="AL6:BO34">
    <cfRule type="expression" dxfId="27" priority="1" stopIfTrue="1">
      <formula>COUNTIF(AL6,"*A↗*") + COUNTIF(AM6,"N*") =2</formula>
    </cfRule>
  </conditionalFormatting>
  <conditionalFormatting sqref="AL7:BO9">
    <cfRule type="containsText" dxfId="26" priority="28" stopIfTrue="1" operator="containsText" text="B">
      <formula>NOT(ISERROR(SEARCH("B",AL7)))</formula>
    </cfRule>
  </conditionalFormatting>
  <conditionalFormatting sqref="AL8:BO8">
    <cfRule type="containsText" dxfId="25" priority="27" operator="containsText" text="N">
      <formula>NOT(ISERROR(SEARCH("N",AL8)))</formula>
    </cfRule>
    <cfRule type="containsText" dxfId="24" priority="26" stopIfTrue="1" operator="containsText" text="B">
      <formula>NOT(ISERROR(SEARCH("B",AL8)))</formula>
    </cfRule>
  </conditionalFormatting>
  <conditionalFormatting sqref="AL1:BP1048576">
    <cfRule type="expression" dxfId="23" priority="280">
      <formula>COUNTIF(AL$1,"*SH*")+COUNTIF(AL$1,"*SH*")+COUNTIF(AL$4,"*SAT*")+COUNTIF(AL$4,"*SUN*")&gt;0</formula>
    </cfRule>
    <cfRule type="expression" dxfId="22" priority="8">
      <formula>AL$4="SAT"</formula>
    </cfRule>
  </conditionalFormatting>
  <conditionalFormatting sqref="AL5:BP5 BM6:BP6">
    <cfRule type="containsText" dxfId="21" priority="161" stopIfTrue="1" operator="containsText" text="B">
      <formula>NOT(ISERROR(SEARCH("B",AL5)))</formula>
    </cfRule>
    <cfRule type="containsText" dxfId="20" priority="169" stopIfTrue="1" operator="containsText" text="N">
      <formula>NOT(ISERROR(SEARCH("N",AL5)))</formula>
    </cfRule>
  </conditionalFormatting>
  <conditionalFormatting sqref="AL39:BP39">
    <cfRule type="expression" dxfId="19" priority="33" stopIfTrue="1">
      <formula>AL39&lt;&gt;2</formula>
    </cfRule>
  </conditionalFormatting>
  <conditionalFormatting sqref="AM6:AO6">
    <cfRule type="containsText" dxfId="18" priority="62" stopIfTrue="1" operator="containsText" text="N">
      <formula>NOT(ISERROR(SEARCH("N",AM6)))</formula>
    </cfRule>
    <cfRule type="containsText" dxfId="17" priority="61" stopIfTrue="1" operator="containsText" text="B">
      <formula>NOT(ISERROR(SEARCH("B",AM6)))</formula>
    </cfRule>
    <cfRule type="containsText" dxfId="16" priority="60" stopIfTrue="1" operator="containsText" text="X">
      <formula>NOT(ISERROR(SEARCH("X",AM6)))</formula>
    </cfRule>
  </conditionalFormatting>
  <conditionalFormatting sqref="AM6:BO34">
    <cfRule type="expression" dxfId="15" priority="17">
      <formula>COUNTIF(AL6, "*P*")+ COUNTIF(AL6, "*E*") +COUNTIF(AM6, "*A*")-COUNTIF(AM6, "*AL*")&gt;1</formula>
    </cfRule>
  </conditionalFormatting>
  <conditionalFormatting sqref="AQ7">
    <cfRule type="containsText" dxfId="14" priority="21" operator="containsText" text="N">
      <formula>NOT(ISERROR(SEARCH("N",AQ7)))</formula>
    </cfRule>
    <cfRule type="containsText" dxfId="13" priority="20" stopIfTrue="1" operator="containsText" text="B">
      <formula>NOT(ISERROR(SEARCH("B",AQ7)))</formula>
    </cfRule>
  </conditionalFormatting>
  <conditionalFormatting sqref="AR6:AV6">
    <cfRule type="containsText" dxfId="12" priority="84" stopIfTrue="1" operator="containsText" text="X">
      <formula>NOT(ISERROR(SEARCH("X",AR6)))</formula>
    </cfRule>
    <cfRule type="containsText" dxfId="11" priority="85" stopIfTrue="1" operator="containsText" text="B">
      <formula>NOT(ISERROR(SEARCH("B",AR6)))</formula>
    </cfRule>
    <cfRule type="containsText" dxfId="10" priority="86" stopIfTrue="1" operator="containsText" text="N">
      <formula>NOT(ISERROR(SEARCH("N",AR6)))</formula>
    </cfRule>
  </conditionalFormatting>
  <conditionalFormatting sqref="AY6:BC6">
    <cfRule type="containsText" dxfId="9" priority="72" stopIfTrue="1" operator="containsText" text="X">
      <formula>NOT(ISERROR(SEARCH("X",AY6)))</formula>
    </cfRule>
    <cfRule type="containsText" dxfId="8" priority="73" stopIfTrue="1" operator="containsText" text="B">
      <formula>NOT(ISERROR(SEARCH("B",AY6)))</formula>
    </cfRule>
    <cfRule type="containsText" dxfId="7" priority="74" stopIfTrue="1" operator="containsText" text="N">
      <formula>NOT(ISERROR(SEARCH("N",AY6)))</formula>
    </cfRule>
  </conditionalFormatting>
  <conditionalFormatting sqref="BF6:BJ6">
    <cfRule type="containsText" dxfId="6" priority="75" stopIfTrue="1" operator="containsText" text="X">
      <formula>NOT(ISERROR(SEARCH("X",BF6)))</formula>
    </cfRule>
    <cfRule type="containsText" dxfId="5" priority="76" stopIfTrue="1" operator="containsText" text="B">
      <formula>NOT(ISERROR(SEARCH("B",BF6)))</formula>
    </cfRule>
    <cfRule type="containsText" dxfId="4" priority="77" stopIfTrue="1" operator="containsText" text="N">
      <formula>NOT(ISERROR(SEARCH("N",BF6)))</formula>
    </cfRule>
  </conditionalFormatting>
  <conditionalFormatting sqref="BL7">
    <cfRule type="containsText" dxfId="3" priority="19" operator="containsText" text="N">
      <formula>NOT(ISERROR(SEARCH("N",BL7)))</formula>
    </cfRule>
    <cfRule type="containsText" dxfId="2" priority="18" stopIfTrue="1" operator="containsText" text="B">
      <formula>NOT(ISERROR(SEARCH("B",BL7)))</formula>
    </cfRule>
  </conditionalFormatting>
  <conditionalFormatting sqref="BM6:BP6 AL5:BP5">
    <cfRule type="containsText" dxfId="1" priority="145" stopIfTrue="1" operator="containsText" text="X">
      <formula>NOT(ISERROR(SEARCH("X",AL5)))</formula>
    </cfRule>
  </conditionalFormatting>
  <conditionalFormatting sqref="BQ40:BQ68">
    <cfRule type="expression" dxfId="0" priority="10">
      <formula>COUNTIF(BQ$1,"*SH*")+COUNTIF(BQ$1,"*SH*")+COUNTIF(BQ$4,"*SAT*")+COUNTIF(BQ$4,"*SUN*")&gt;0</formula>
    </cfRule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a92655</dc:creator>
  <cp:lastModifiedBy>John Sin</cp:lastModifiedBy>
  <dcterms:created xsi:type="dcterms:W3CDTF">2025-06-04T08:25:44Z</dcterms:created>
  <dcterms:modified xsi:type="dcterms:W3CDTF">2025-10-24T10:16:42Z</dcterms:modified>
</cp:coreProperties>
</file>